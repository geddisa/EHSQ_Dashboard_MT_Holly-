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xr:revisionPtr revIDLastSave="0" documentId="8_{E2987883-C78B-478E-A64F-703CA4097C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K Scores" sheetId="6" r:id="rId1"/>
    <sheet name="HK" sheetId="1" r:id="rId2"/>
    <sheet name="Safe Obs GS EHS" sheetId="5" state="veryHidden" r:id="rId3"/>
    <sheet name="Safe Obs - Leadership" sheetId="7" r:id="rId4"/>
    <sheet name="Safe Obs - GS and EHS" sheetId="9" r:id="rId5"/>
    <sheet name="LOTO" sheetId="10" r:id="rId6"/>
    <sheet name="PPE" sheetId="11" r:id="rId7"/>
    <sheet name="Mobile Equip" sheetId="12" r:id="rId8"/>
    <sheet name="Sheet1" sheetId="4" r:id="rId9"/>
    <sheet name="Jobs and shifts" sheetId="3" r:id="rId10"/>
  </sheets>
  <definedNames>
    <definedName name="_xlnm._FilterDatabase" localSheetId="4" hidden="1">'Safe Obs - GS and EHS'!$B$124:$S$150</definedName>
    <definedName name="AprSun1" localSheetId="0">DATE('HK Scores'!CalendarYear,4,1)-WEEKDAY(DATE('HK Scores'!CalendarYear,4,1))</definedName>
    <definedName name="AprSun1" localSheetId="5">DATE(LOTO!CalendarYear,4,1)-WEEKDAY(DATE(LOTO!CalendarYear,4,1))</definedName>
    <definedName name="AprSun1" localSheetId="7">DATE('Mobile Equip'!CalendarYear,4,1)-WEEKDAY(DATE('Mobile Equip'!CalendarYear,4,1))</definedName>
    <definedName name="AprSun1" localSheetId="6">DATE(PPE!CalendarYear,4,1)-WEEKDAY(DATE(PPE!CalendarYear,4,1))</definedName>
    <definedName name="AprSun1" localSheetId="4">DATE('Safe Obs - GS and EHS'!CalendarYear,4,1)-WEEKDAY(DATE('Safe Obs - GS and EHS'!CalendarYear,4,1))</definedName>
    <definedName name="AprSun1" localSheetId="3">DATE('Safe Obs - Leadership'!CalendarYear,4,1)-WEEKDAY(DATE('Safe Obs - Leadership'!CalendarYear,4,1))</definedName>
    <definedName name="AprSun1" localSheetId="2">DATE('Safe Obs GS EHS'!CalendarYear,4,1)-WEEKDAY(DATE('Safe Obs GS EHS'!CalendarYear,4,1))</definedName>
    <definedName name="AprSun1">DATE(CalendarYear,4,1)-WEEKDAY(DATE(CalendarYear,4,1))</definedName>
    <definedName name="AugSun1" localSheetId="0">DATE('HK Scores'!CalendarYear,8,1)-WEEKDAY(DATE('HK Scores'!CalendarYear,8,1))</definedName>
    <definedName name="AugSun1" localSheetId="5">DATE(LOTO!CalendarYear,8,1)-WEEKDAY(DATE(LOTO!CalendarYear,8,1))</definedName>
    <definedName name="AugSun1" localSheetId="7">DATE('Mobile Equip'!CalendarYear,8,1)-WEEKDAY(DATE('Mobile Equip'!CalendarYear,8,1))</definedName>
    <definedName name="AugSun1" localSheetId="6">DATE(PPE!CalendarYear,8,1)-WEEKDAY(DATE(PPE!CalendarYear,8,1))</definedName>
    <definedName name="AugSun1" localSheetId="4">DATE('Safe Obs - GS and EHS'!CalendarYear,8,1)-WEEKDAY(DATE('Safe Obs - GS and EHS'!CalendarYear,8,1))</definedName>
    <definedName name="AugSun1" localSheetId="3">DATE('Safe Obs - Leadership'!CalendarYear,8,1)-WEEKDAY(DATE('Safe Obs - Leadership'!CalendarYear,8,1))</definedName>
    <definedName name="AugSun1" localSheetId="2">DATE('Safe Obs GS EHS'!CalendarYear,8,1)-WEEKDAY(DATE('Safe Obs GS EHS'!CalendarYear,8,1))</definedName>
    <definedName name="AugSun1">DATE(CalendarYear,8,1)-WEEKDAY(DATE(CalendarYear,8,1))</definedName>
    <definedName name="CalendarYear" localSheetId="0">'HK Scores'!$AI$2</definedName>
    <definedName name="CalendarYear" localSheetId="5">LOTO!#REF!</definedName>
    <definedName name="CalendarYear" localSheetId="7">'Mobile Equip'!$AD$2</definedName>
    <definedName name="CalendarYear" localSheetId="6">PPE!$AD$2</definedName>
    <definedName name="CalendarYear" localSheetId="4">'Safe Obs - GS and EHS'!$AE$2</definedName>
    <definedName name="CalendarYear" localSheetId="3">'Safe Obs - Leadership'!$AE$2</definedName>
    <definedName name="CalendarYear" localSheetId="2">'Safe Obs GS EHS'!$AF$2</definedName>
    <definedName name="CalendarYear">HK!$AI$2</definedName>
    <definedName name="DecSun1" localSheetId="0">DATE('HK Scores'!CalendarYear,12,1)-WEEKDAY(DATE('HK Scores'!CalendarYear,12,1))</definedName>
    <definedName name="DecSun1" localSheetId="5">DATE(LOTO!CalendarYear,12,1)-WEEKDAY(DATE(LOTO!CalendarYear,12,1))</definedName>
    <definedName name="DecSun1" localSheetId="7">DATE('Mobile Equip'!CalendarYear,12,1)-WEEKDAY(DATE('Mobile Equip'!CalendarYear,12,1))</definedName>
    <definedName name="DecSun1" localSheetId="6">DATE(PPE!CalendarYear,12,1)-WEEKDAY(DATE(PPE!CalendarYear,12,1))</definedName>
    <definedName name="DecSun1" localSheetId="4">DATE('Safe Obs - GS and EHS'!CalendarYear,12,1)-WEEKDAY(DATE('Safe Obs - GS and EHS'!CalendarYear,12,1))</definedName>
    <definedName name="DecSun1" localSheetId="3">DATE('Safe Obs - Leadership'!CalendarYear,12,1)-WEEKDAY(DATE('Safe Obs - Leadership'!CalendarYear,12,1))</definedName>
    <definedName name="DecSun1" localSheetId="2">DATE('Safe Obs GS EHS'!CalendarYear,12,1)-WEEKDAY(DATE('Safe Obs GS EHS'!CalendarYear,12,1))</definedName>
    <definedName name="DecSun1">DATE(CalendarYear,12,1)-WEEKDAY(DATE(CalendarYear,12,1))</definedName>
    <definedName name="FebSun1" localSheetId="0">DATE('HK Scores'!CalendarYear,2,1)-WEEKDAY(DATE('HK Scores'!CalendarYear,2,1))</definedName>
    <definedName name="FebSun1" localSheetId="5">DATE(LOTO!CalendarYear,2,1)-WEEKDAY(DATE(LOTO!CalendarYear,2,1))</definedName>
    <definedName name="FebSun1" localSheetId="7">DATE('Mobile Equip'!CalendarYear,2,1)-WEEKDAY(DATE('Mobile Equip'!CalendarYear,2,1))</definedName>
    <definedName name="FebSun1" localSheetId="6">DATE(PPE!CalendarYear,2,1)-WEEKDAY(DATE(PPE!CalendarYear,2,1))</definedName>
    <definedName name="FebSun1" localSheetId="4">DATE('Safe Obs - GS and EHS'!CalendarYear,2,1)-WEEKDAY(DATE('Safe Obs - GS and EHS'!CalendarYear,2,1))</definedName>
    <definedName name="FebSun1" localSheetId="3">DATE('Safe Obs - Leadership'!CalendarYear,2,1)-WEEKDAY(DATE('Safe Obs - Leadership'!CalendarYear,2,1))</definedName>
    <definedName name="FebSun1" localSheetId="2">DATE('Safe Obs GS EHS'!CalendarYear,2,1)-WEEKDAY(DATE('Safe Obs GS EHS'!CalendarYear,2,1))</definedName>
    <definedName name="FebSun1">DATE(CalendarYear,2,1)-WEEKDAY(DATE(CalendarYear,2,1))</definedName>
    <definedName name="JanSun1" localSheetId="0">DATE('HK Scores'!CalendarYear,1,1)-WEEKDAY(DATE('HK Scores'!CalendarYear,1,1))</definedName>
    <definedName name="JanSun1" localSheetId="5">DATE(LOTO!CalendarYear,1,1)-WEEKDAY(DATE(LOTO!CalendarYear,1,1))</definedName>
    <definedName name="JanSun1" localSheetId="7">DATE('Mobile Equip'!CalendarYear,1,1)-WEEKDAY(DATE('Mobile Equip'!CalendarYear,1,1))</definedName>
    <definedName name="JanSun1" localSheetId="6">DATE(PPE!CalendarYear,1,1)-WEEKDAY(DATE(PPE!CalendarYear,1,1))</definedName>
    <definedName name="JanSun1" localSheetId="4">DATE('Safe Obs - GS and EHS'!CalendarYear,1,1)-WEEKDAY(DATE('Safe Obs - GS and EHS'!CalendarYear,1,1))</definedName>
    <definedName name="JanSun1" localSheetId="3">DATE('Safe Obs - Leadership'!CalendarYear,1,1)-WEEKDAY(DATE('Safe Obs - Leadership'!CalendarYear,1,1))</definedName>
    <definedName name="JanSun1" localSheetId="2">DATE('Safe Obs GS EHS'!CalendarYear,1,1)-WEEKDAY(DATE('Safe Obs GS EHS'!CalendarYear,1,1))</definedName>
    <definedName name="JanSun1">DATE(CalendarYear,1,1)-WEEKDAY(DATE(CalendarYear,1,1))</definedName>
    <definedName name="Job1_DayOff_Code">'Jobs and shifts'!$D$25</definedName>
    <definedName name="Job1_Name">'Jobs and shifts'!$D$5</definedName>
    <definedName name="Job1_Pattern">'Jobs and shifts'!$D$27</definedName>
    <definedName name="Job1_Shift1_Code">'Jobs and shifts'!$D$9</definedName>
    <definedName name="Job1_Shift2_Code">'Jobs and shifts'!$D$15</definedName>
    <definedName name="Job1_Shift3_Code">'Jobs and shifts'!$D$21</definedName>
    <definedName name="Job1_StartDate">'Jobs and shifts'!$D$26</definedName>
    <definedName name="Job2_DayOff_Code">'Jobs and shifts'!$E$25</definedName>
    <definedName name="Job2_Name">'Jobs and shifts'!$E$5</definedName>
    <definedName name="Job2_Pattern">'Jobs and shifts'!$E$27</definedName>
    <definedName name="Job2_Shift1_Code">'Jobs and shifts'!$E$9</definedName>
    <definedName name="Job2_Shift2_Code">'Jobs and shifts'!$E$15</definedName>
    <definedName name="Job2_Shift3_Code">'Jobs and shifts'!$E$21</definedName>
    <definedName name="Job2_StartDate">'Jobs and shifts'!$E$26</definedName>
    <definedName name="Job3_DayOff_Code">'Jobs and shifts'!$F$25</definedName>
    <definedName name="Job3_Name">'Jobs and shifts'!$F$5</definedName>
    <definedName name="Job3_Pattern">'Jobs and shifts'!$F$27</definedName>
    <definedName name="Job3_Shift1_Code">'Jobs and shifts'!$F$9</definedName>
    <definedName name="Job3_Shift2_Code">'Jobs and shifts'!$F$15</definedName>
    <definedName name="Job3_Shift3_Code">'Jobs and shifts'!$F$21</definedName>
    <definedName name="Job3_StartDate">'Jobs and shifts'!$F$26</definedName>
    <definedName name="JulSun1" localSheetId="0">DATE('HK Scores'!CalendarYear,7,1)-WEEKDAY(DATE('HK Scores'!CalendarYear,7,1))</definedName>
    <definedName name="JulSun1" localSheetId="5">DATE(LOTO!CalendarYear,7,1)-WEEKDAY(DATE(LOTO!CalendarYear,7,1))</definedName>
    <definedName name="JulSun1" localSheetId="7">DATE('Mobile Equip'!CalendarYear,7,1)-WEEKDAY(DATE('Mobile Equip'!CalendarYear,7,1))</definedName>
    <definedName name="JulSun1" localSheetId="6">DATE(PPE!CalendarYear,7,1)-WEEKDAY(DATE(PPE!CalendarYear,7,1))</definedName>
    <definedName name="JulSun1" localSheetId="4">DATE('Safe Obs - GS and EHS'!CalendarYear,7,1)-WEEKDAY(DATE('Safe Obs - GS and EHS'!CalendarYear,7,1))</definedName>
    <definedName name="JulSun1" localSheetId="3">DATE('Safe Obs - Leadership'!CalendarYear,7,1)-WEEKDAY(DATE('Safe Obs - Leadership'!CalendarYear,7,1))</definedName>
    <definedName name="JulSun1" localSheetId="2">DATE('Safe Obs GS EHS'!CalendarYear,7,1)-WEEKDAY(DATE('Safe Obs GS EHS'!CalendarYear,7,1))</definedName>
    <definedName name="JulSun1">DATE(CalendarYear,7,1)-WEEKDAY(DATE(CalendarYear,7,1))</definedName>
    <definedName name="JunSun1" localSheetId="0">DATE('HK Scores'!CalendarYear,6,1)-WEEKDAY(DATE('HK Scores'!CalendarYear,6,1))</definedName>
    <definedName name="JunSun1" localSheetId="5">DATE(LOTO!CalendarYear,6,1)-WEEKDAY(DATE(LOTO!CalendarYear,6,1))</definedName>
    <definedName name="JunSun1" localSheetId="7">DATE('Mobile Equip'!CalendarYear,6,1)-WEEKDAY(DATE('Mobile Equip'!CalendarYear,6,1))</definedName>
    <definedName name="JunSun1" localSheetId="6">DATE(PPE!CalendarYear,6,1)-WEEKDAY(DATE(PPE!CalendarYear,6,1))</definedName>
    <definedName name="JunSun1" localSheetId="4">DATE('Safe Obs - GS and EHS'!CalendarYear,6,1)-WEEKDAY(DATE('Safe Obs - GS and EHS'!CalendarYear,6,1))</definedName>
    <definedName name="JunSun1" localSheetId="3">DATE('Safe Obs - Leadership'!CalendarYear,6,1)-WEEKDAY(DATE('Safe Obs - Leadership'!CalendarYear,6,1))</definedName>
    <definedName name="JunSun1" localSheetId="2">DATE('Safe Obs GS EHS'!CalendarYear,6,1)-WEEKDAY(DATE('Safe Obs GS EHS'!CalendarYear,6,1))</definedName>
    <definedName name="JunSun1">DATE(CalendarYear,6,1)-WEEKDAY(DATE(CalendarYear,6,1))</definedName>
    <definedName name="MarSun1" localSheetId="0">DATE('HK Scores'!CalendarYear,3,1)-WEEKDAY(DATE('HK Scores'!CalendarYear,3,1))</definedName>
    <definedName name="MarSun1" localSheetId="5">DATE(LOTO!CalendarYear,3,1)-WEEKDAY(DATE(LOTO!CalendarYear,3,1))</definedName>
    <definedName name="MarSun1" localSheetId="7">DATE('Mobile Equip'!CalendarYear,3,1)-WEEKDAY(DATE('Mobile Equip'!CalendarYear,3,1))</definedName>
    <definedName name="MarSun1" localSheetId="6">DATE(PPE!CalendarYear,3,1)-WEEKDAY(DATE(PPE!CalendarYear,3,1))</definedName>
    <definedName name="MarSun1" localSheetId="4">DATE('Safe Obs - GS and EHS'!CalendarYear,3,1)-WEEKDAY(DATE('Safe Obs - GS and EHS'!CalendarYear,3,1))</definedName>
    <definedName name="MarSun1" localSheetId="3">DATE('Safe Obs - Leadership'!CalendarYear,3,1)-WEEKDAY(DATE('Safe Obs - Leadership'!CalendarYear,3,1))</definedName>
    <definedName name="MarSun1" localSheetId="2">DATE('Safe Obs GS EHS'!CalendarYear,3,1)-WEEKDAY(DATE('Safe Obs GS EHS'!CalendarYear,3,1))</definedName>
    <definedName name="MarSun1">DATE(CalendarYear,3,1)-WEEKDAY(DATE(CalendarYear,3,1))</definedName>
    <definedName name="MaySun1" localSheetId="0">DATE('HK Scores'!CalendarYear,5,1)-WEEKDAY(DATE('HK Scores'!CalendarYear,5,1))</definedName>
    <definedName name="MaySun1" localSheetId="5">DATE(LOTO!CalendarYear,5,1)-WEEKDAY(DATE(LOTO!CalendarYear,5,1))</definedName>
    <definedName name="MaySun1" localSheetId="7">DATE('Mobile Equip'!CalendarYear,5,1)-WEEKDAY(DATE('Mobile Equip'!CalendarYear,5,1))</definedName>
    <definedName name="MaySun1" localSheetId="6">DATE(PPE!CalendarYear,5,1)-WEEKDAY(DATE(PPE!CalendarYear,5,1))</definedName>
    <definedName name="MaySun1" localSheetId="4">DATE('Safe Obs - GS and EHS'!CalendarYear,5,1)-WEEKDAY(DATE('Safe Obs - GS and EHS'!CalendarYear,5,1))</definedName>
    <definedName name="MaySun1" localSheetId="3">DATE('Safe Obs - Leadership'!CalendarYear,5,1)-WEEKDAY(DATE('Safe Obs - Leadership'!CalendarYear,5,1))</definedName>
    <definedName name="MaySun1" localSheetId="2">DATE('Safe Obs GS EHS'!CalendarYear,5,1)-WEEKDAY(DATE('Safe Obs GS EHS'!CalendarYear,5,1))</definedName>
    <definedName name="MaySun1">DATE(CalendarYear,5,1)-WEEKDAY(DATE(CalendarYear,5,1))</definedName>
    <definedName name="NovSun1" localSheetId="0">DATE('HK Scores'!CalendarYear,11,1)-WEEKDAY(DATE('HK Scores'!CalendarYear,11,1))</definedName>
    <definedName name="NovSun1" localSheetId="5">DATE(LOTO!CalendarYear,11,1)-WEEKDAY(DATE(LOTO!CalendarYear,11,1))</definedName>
    <definedName name="NovSun1" localSheetId="7">DATE('Mobile Equip'!CalendarYear,11,1)-WEEKDAY(DATE('Mobile Equip'!CalendarYear,11,1))</definedName>
    <definedName name="NovSun1" localSheetId="6">DATE(PPE!CalendarYear,11,1)-WEEKDAY(DATE(PPE!CalendarYear,11,1))</definedName>
    <definedName name="NovSun1" localSheetId="4">DATE('Safe Obs - GS and EHS'!CalendarYear,11,1)-WEEKDAY(DATE('Safe Obs - GS and EHS'!CalendarYear,11,1))</definedName>
    <definedName name="NovSun1" localSheetId="3">DATE('Safe Obs - Leadership'!CalendarYear,11,1)-WEEKDAY(DATE('Safe Obs - Leadership'!CalendarYear,11,1))</definedName>
    <definedName name="NovSun1" localSheetId="2">DATE('Safe Obs GS EHS'!CalendarYear,11,1)-WEEKDAY(DATE('Safe Obs GS EHS'!CalendarYear,11,1))</definedName>
    <definedName name="NovSun1">DATE(CalendarYear,11,1)-WEEKDAY(DATE(CalendarYear,11,1))</definedName>
    <definedName name="OctSun1" localSheetId="0">DATE('HK Scores'!CalendarYear,10,1)-WEEKDAY(DATE('HK Scores'!CalendarYear,10,1))</definedName>
    <definedName name="OctSun1" localSheetId="5">DATE(LOTO!CalendarYear,10,1)-WEEKDAY(DATE(LOTO!CalendarYear,10,1))</definedName>
    <definedName name="OctSun1" localSheetId="7">DATE('Mobile Equip'!CalendarYear,10,1)-WEEKDAY(DATE('Mobile Equip'!CalendarYear,10,1))</definedName>
    <definedName name="OctSun1" localSheetId="6">DATE(PPE!CalendarYear,10,1)-WEEKDAY(DATE(PPE!CalendarYear,10,1))</definedName>
    <definedName name="OctSun1" localSheetId="4">DATE('Safe Obs - GS and EHS'!CalendarYear,10,1)-WEEKDAY(DATE('Safe Obs - GS and EHS'!CalendarYear,10,1))</definedName>
    <definedName name="OctSun1" localSheetId="3">DATE('Safe Obs - Leadership'!CalendarYear,10,1)-WEEKDAY(DATE('Safe Obs - Leadership'!CalendarYear,10,1))</definedName>
    <definedName name="OctSun1" localSheetId="2">DATE('Safe Obs GS EHS'!CalendarYear,10,1)-WEEKDAY(DATE('Safe Obs GS EHS'!CalendarYear,10,1))</definedName>
    <definedName name="OctSun1">DATE(CalendarYear,10,1)-WEEKDAY(DATE(CalendarYear,10,1))</definedName>
    <definedName name="Range_Dates" localSheetId="0">'HK Scores'!$D$6:$AN$6,'HK Scores'!$D$16:$AN$16,'HK Scores'!#REF!,'HK Scores'!$D$37:$AN$37,'HK Scores'!$D$48:$AN$48,'HK Scores'!#REF!,'HK Scores'!#REF!,'HK Scores'!#REF!,'HK Scores'!#REF!,'HK Scores'!#REF!,'HK Scores'!#REF!,'HK Scores'!#REF!</definedName>
    <definedName name="Range_Dates" localSheetId="5">LOTO!$D$6:$Y$6,LOTO!$D$16:$Y$16,LOTO!$D$23:$Y$23,LOTO!$D$30:$Y$30,LOTO!$D$37:$Y$37,LOTO!$D$46:$Y$46,LOTO!#REF!,LOTO!#REF!,LOTO!#REF!,LOTO!#REF!,LOTO!#REF!,LOTO!#REF!</definedName>
    <definedName name="Range_Dates" localSheetId="7">'Mobile Equip'!$D$4:$AI$4,'Mobile Equip'!$D$13:$AI$13,'Mobile Equip'!#REF!,'Mobile Equip'!$D$20:$AI$20,'Mobile Equip'!$D$28:$AI$28,'Mobile Equip'!$D$36:$AI$36,'Mobile Equip'!#REF!,'Mobile Equip'!#REF!,'Mobile Equip'!#REF!,'Mobile Equip'!#REF!,'Mobile Equip'!#REF!,'Mobile Equip'!#REF!</definedName>
    <definedName name="Range_Dates" localSheetId="6">PPE!$D$4:$AI$4,PPE!$D$13:$AI$13,PPE!#REF!,PPE!$D$20:$AI$20,PPE!$D$28:$AI$28,PPE!$D$37:$AI$37,PPE!#REF!,PPE!#REF!,PPE!#REF!,PPE!#REF!,PPE!#REF!,PPE!#REF!</definedName>
    <definedName name="Range_Dates" localSheetId="4">'Safe Obs - GS and EHS'!$D$3:$AJ$3,'Safe Obs - GS and EHS'!$D$15:$AJ$15,'Safe Obs - GS and EHS'!#REF!,'Safe Obs - GS and EHS'!$D$69:$AJ$69,'Safe Obs - GS and EHS'!$D$96:$AJ$96,'Safe Obs - GS and EHS'!#REF!,'Safe Obs - GS and EHS'!#REF!,'Safe Obs - GS and EHS'!#REF!,'Safe Obs - GS and EHS'!#REF!,'Safe Obs - GS and EHS'!#REF!,'Safe Obs - GS and EHS'!#REF!,'Safe Obs - GS and EHS'!#REF!</definedName>
    <definedName name="Range_Dates" localSheetId="3">'Safe Obs - Leadership'!$D$6:$AJ$6,'Safe Obs - Leadership'!$D$18:$AJ$18,'Safe Obs - Leadership'!$D$32:$AJ$32,'Safe Obs - Leadership'!$D$44:$AJ$44,'Safe Obs - Leadership'!$D$58:$AJ$58,'Safe Obs - Leadership'!#REF!,'Safe Obs - Leadership'!#REF!,'Safe Obs - Leadership'!#REF!,'Safe Obs - Leadership'!#REF!,'Safe Obs - Leadership'!#REF!,'Safe Obs - Leadership'!#REF!,'Safe Obs - Leadership'!#REF!</definedName>
    <definedName name="Range_Dates" localSheetId="2">'Safe Obs GS EHS'!$D$6:$AK$6,'Safe Obs GS EHS'!$D$18:$AK$18,'Safe Obs GS EHS'!$D$45:$AK$45,'Safe Obs GS EHS'!$D$73:$AK$73,'Safe Obs GS EHS'!$D$101:$AK$101,'Safe Obs GS EHS'!$D$107:$AK$107,'Safe Obs GS EHS'!$D$113:$AK$113,'Safe Obs GS EHS'!$D$119:$AK$119,'Safe Obs GS EHS'!$D$125:$AK$125,'Safe Obs GS EHS'!$D$131:$AK$131,'Safe Obs GS EHS'!$D$137:$AK$137,'Safe Obs GS EHS'!$D$143:$AK$143</definedName>
    <definedName name="Range_Dates">HK!$D$6:$AN$6,HK!$D$16:$AN$16,HK!$D$26:$AN$26,HK!#REF!,HK!$D$52:$AN$52,HK!#REF!,HK!#REF!,HK!#REF!,HK!#REF!,HK!#REF!,HK!#REF!,HK!#REF!</definedName>
    <definedName name="Range_Days" localSheetId="0">'HK Scores'!$D$8:$AN$14,'HK Scores'!$D$18:$AN$24,'HK Scores'!#REF!,'HK Scores'!$D$39:$AN$44,'HK Scores'!$D$50:$AN$56,'HK Scores'!#REF!,'HK Scores'!#REF!,'HK Scores'!#REF!,'HK Scores'!#REF!,'HK Scores'!#REF!,'HK Scores'!#REF!,'HK Scores'!#REF!</definedName>
    <definedName name="Range_Days" localSheetId="5">LOTO!$D$8:$Y$14,LOTO!$D$18:$Y$21,LOTO!$D$25:$Y$28,LOTO!$D$32:$Y$34,LOTO!$D$39:$Y$41,LOTO!$D$48:$Y$49,LOTO!#REF!,LOTO!#REF!,LOTO!#REF!,LOTO!#REF!,LOTO!#REF!,LOTO!#REF!</definedName>
    <definedName name="Range_Days" localSheetId="7">'Mobile Equip'!$D$6:$AI$12,'Mobile Equip'!$D$15:$AI$18,'Mobile Equip'!#REF!,'Mobile Equip'!$D$22:$AI$24,'Mobile Equip'!$D$30:$AI$34,'Mobile Equip'!$D$43:$AI$43,'Mobile Equip'!#REF!,'Mobile Equip'!#REF!,'Mobile Equip'!#REF!,'Mobile Equip'!#REF!,'Mobile Equip'!#REF!,'Mobile Equip'!#REF!</definedName>
    <definedName name="Range_Days" localSheetId="6">PPE!$D$6:$AI$12,PPE!$D$15:$AI$18,PPE!#REF!,PPE!$D$22:$AI$24,PPE!$D$30:$AI$35,PPE!$D$44:$AI$46,PPE!#REF!,PPE!#REF!,PPE!#REF!,PPE!#REF!,PPE!#REF!,PPE!#REF!</definedName>
    <definedName name="Range_Days" localSheetId="4">'Safe Obs - GS and EHS'!$D$5:$AJ$12,'Safe Obs - GS and EHS'!$D$17:$AJ$39,'Safe Obs - GS and EHS'!#REF!,'Safe Obs - GS and EHS'!#REF!,'Safe Obs - GS and EHS'!#REF!,'Safe Obs - GS and EHS'!#REF!,'Safe Obs - GS and EHS'!#REF!,'Safe Obs - GS and EHS'!#REF!,'Safe Obs - GS and EHS'!#REF!,'Safe Obs - GS and EHS'!#REF!,'Safe Obs - GS and EHS'!#REF!,'Safe Obs - GS and EHS'!#REF!</definedName>
    <definedName name="Range_Days" localSheetId="3">'Safe Obs - Leadership'!$D$8:$AJ$15,'Safe Obs - Leadership'!$D$20:$AJ$30,'Safe Obs - Leadership'!#REF!,'Safe Obs - Leadership'!#REF!,'Safe Obs - Leadership'!$D$60:$AJ$62,'Safe Obs - Leadership'!#REF!,'Safe Obs - Leadership'!#REF!,'Safe Obs - Leadership'!#REF!,'Safe Obs - Leadership'!#REF!,'Safe Obs - Leadership'!#REF!,'Safe Obs - Leadership'!#REF!,'Safe Obs - Leadership'!#REF!</definedName>
    <definedName name="Range_Days" localSheetId="2">'Safe Obs GS EHS'!$D$8:$AK$15,'Safe Obs GS EHS'!$D$20:$AK$43,'Safe Obs GS EHS'!$D$69:$AK$71,'Safe Obs GS EHS'!$D$97:$AK$99,'Safe Obs GS EHS'!$D$103:$AK$105,'Safe Obs GS EHS'!$D$109:$AK$111,'Safe Obs GS EHS'!$D$115:$AK$117,'Safe Obs GS EHS'!$D$121:$AK$123,'Safe Obs GS EHS'!$D$127:$AK$129,'Safe Obs GS EHS'!$D$133:$AK$135,'Safe Obs GS EHS'!$D$139:$AK$141,'Safe Obs GS EHS'!$D$145:$AK$147</definedName>
    <definedName name="Range_Days">HK!$D$8:$AN$14,HK!$D$18:$AN$24,HK!$D$35:$AN$37,HK!#REF!,HK!$D$54:$AN$64,HK!#REF!,HK!#REF!,HK!#REF!,HK!#REF!,HK!#REF!,HK!#REF!,HK!#REF!</definedName>
    <definedName name="Range_Weekdays" localSheetId="0">'HK Scores'!$D$7:$AN$7,'HK Scores'!$D$17:$AN$17,'HK Scores'!#REF!,'HK Scores'!$D$38:$AN$38,'HK Scores'!$D$49:$AN$49,'HK Scores'!#REF!,'HK Scores'!#REF!,'HK Scores'!#REF!,'HK Scores'!#REF!,'HK Scores'!#REF!,'HK Scores'!#REF!,'HK Scores'!#REF!</definedName>
    <definedName name="Range_Weekdays" localSheetId="5">LOTO!$D$7:$Y$7,LOTO!$D$17:$Y$17,LOTO!$D$24:$Y$24,LOTO!$D$31:$Y$31,LOTO!$D$38:$Y$38,LOTO!$D$47:$Y$47,LOTO!#REF!,LOTO!#REF!,LOTO!#REF!,LOTO!#REF!,LOTO!#REF!,LOTO!#REF!</definedName>
    <definedName name="Range_Weekdays" localSheetId="7">'Mobile Equip'!$D$5:$AI$5,'Mobile Equip'!$D$14:$AI$14,'Mobile Equip'!#REF!,'Mobile Equip'!$D$21:$AI$21,'Mobile Equip'!$D$29:$AI$29,'Mobile Equip'!$D$37:$AI$37,'Mobile Equip'!#REF!,'Mobile Equip'!#REF!,'Mobile Equip'!#REF!,'Mobile Equip'!#REF!,'Mobile Equip'!#REF!,'Mobile Equip'!#REF!</definedName>
    <definedName name="Range_Weekdays" localSheetId="6">PPE!$D$5:$AI$5,PPE!$D$14:$AI$14,PPE!#REF!,PPE!$D$21:$AI$21,PPE!$D$29:$AI$29,PPE!$D$38:$AI$38,PPE!#REF!,PPE!#REF!,PPE!#REF!,PPE!#REF!,PPE!#REF!,PPE!#REF!</definedName>
    <definedName name="Range_Weekdays" localSheetId="4">'Safe Obs - GS and EHS'!$D$4:$AJ$4,'Safe Obs - GS and EHS'!$D$16:$AJ$16,'Safe Obs - GS and EHS'!#REF!,'Safe Obs - GS and EHS'!$D$70:$AJ$70,'Safe Obs - GS and EHS'!$D$97:$AJ$97,'Safe Obs - GS and EHS'!#REF!,'Safe Obs - GS and EHS'!#REF!,'Safe Obs - GS and EHS'!#REF!,'Safe Obs - GS and EHS'!#REF!,'Safe Obs - GS and EHS'!#REF!,'Safe Obs - GS and EHS'!#REF!,'Safe Obs - GS and EHS'!#REF!</definedName>
    <definedName name="Range_Weekdays" localSheetId="3">'Safe Obs - Leadership'!$D$7:$AJ$7,'Safe Obs - Leadership'!$D$19:$AJ$19,'Safe Obs - Leadership'!$D$33:$AJ$33,'Safe Obs - Leadership'!$D$45:$AJ$45,'Safe Obs - Leadership'!$D$59:$AJ$59,'Safe Obs - Leadership'!#REF!,'Safe Obs - Leadership'!#REF!,'Safe Obs - Leadership'!#REF!,'Safe Obs - Leadership'!#REF!,'Safe Obs - Leadership'!#REF!,'Safe Obs - Leadership'!#REF!,'Safe Obs - Leadership'!#REF!</definedName>
    <definedName name="Range_Weekdays" localSheetId="2">'Safe Obs GS EHS'!$D$7:$AK$7,'Safe Obs GS EHS'!$D$19:$AK$19,'Safe Obs GS EHS'!$D$46:$AK$46,'Safe Obs GS EHS'!$D$74:$AK$74,'Safe Obs GS EHS'!$D$102:$AK$102,'Safe Obs GS EHS'!$D$108:$AK$108,'Safe Obs GS EHS'!$D$114:$AK$114,'Safe Obs GS EHS'!$D$120:$AK$120,'Safe Obs GS EHS'!$D$126:$AK$126,'Safe Obs GS EHS'!$D$132:$AK$132,'Safe Obs GS EHS'!$D$138:$AK$138,'Safe Obs GS EHS'!$D$144:$AK$144</definedName>
    <definedName name="Range_Weekdays">HK!$D$7:$AN$7,HK!$D$17:$AN$17,HK!$D$27:$AN$27,HK!#REF!,HK!$D$53:$AN$53,HK!#REF!,HK!#REF!,HK!#REF!,HK!#REF!,HK!#REF!,HK!#REF!,HK!#REF!</definedName>
    <definedName name="SepSun1" localSheetId="0">DATE('HK Scores'!CalendarYear,9,1)-WEEKDAY(DATE('HK Scores'!CalendarYear,9,1))</definedName>
    <definedName name="SepSun1" localSheetId="5">DATE(LOTO!CalendarYear,9,1)-WEEKDAY(DATE(LOTO!CalendarYear,9,1))</definedName>
    <definedName name="SepSun1" localSheetId="7">DATE('Mobile Equip'!CalendarYear,9,1)-WEEKDAY(DATE('Mobile Equip'!CalendarYear,9,1))</definedName>
    <definedName name="SepSun1" localSheetId="6">DATE(PPE!CalendarYear,9,1)-WEEKDAY(DATE(PPE!CalendarYear,9,1))</definedName>
    <definedName name="SepSun1" localSheetId="4">DATE('Safe Obs - GS and EHS'!CalendarYear,9,1)-WEEKDAY(DATE('Safe Obs - GS and EHS'!CalendarYear,9,1))</definedName>
    <definedName name="SepSun1" localSheetId="3">DATE('Safe Obs - Leadership'!CalendarYear,9,1)-WEEKDAY(DATE('Safe Obs - Leadership'!CalendarYear,9,1))</definedName>
    <definedName name="SepSun1" localSheetId="2">DATE('Safe Obs GS EHS'!CalendarYear,9,1)-WEEKDAY(DATE('Safe Obs GS EHS'!CalendarYear,9,1))</definedName>
    <definedName name="SepSun1">DATE(CalendarYear,9,1)-WEEKDAY(DATE(CalendarYear,9,1))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7" i="9" l="1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56" i="9"/>
  <c r="Y85" i="7"/>
  <c r="Y86" i="7"/>
  <c r="Y87" i="7"/>
  <c r="Y88" i="7"/>
  <c r="Y89" i="7"/>
  <c r="Y90" i="7"/>
  <c r="Y91" i="7"/>
  <c r="Y92" i="7"/>
  <c r="Y84" i="7"/>
  <c r="AB158" i="9"/>
  <c r="AB157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56" i="9"/>
  <c r="AB150" i="9"/>
  <c r="Z150" i="9"/>
  <c r="W72" i="7"/>
  <c r="Z126" i="9"/>
  <c r="Z146" i="9"/>
  <c r="W75" i="7"/>
  <c r="Z180" i="9"/>
  <c r="AB130" i="9"/>
  <c r="Z149" i="9"/>
  <c r="Z148" i="9"/>
  <c r="Z147" i="9"/>
  <c r="Z145" i="9"/>
  <c r="Z144" i="9"/>
  <c r="Z143" i="9"/>
  <c r="Z142" i="9"/>
  <c r="Z141" i="9"/>
  <c r="Z140" i="9"/>
  <c r="Z139" i="9"/>
  <c r="Z138" i="9"/>
  <c r="Z137" i="9"/>
  <c r="Z136" i="9"/>
  <c r="Z135" i="9"/>
  <c r="Z134" i="9"/>
  <c r="Z133" i="9"/>
  <c r="Z132" i="9"/>
  <c r="Z131" i="9"/>
  <c r="Z130" i="9"/>
  <c r="Z129" i="9"/>
  <c r="Z127" i="9"/>
  <c r="Z128" i="9"/>
  <c r="W73" i="7"/>
  <c r="W74" i="7"/>
  <c r="W76" i="7"/>
  <c r="W77" i="7"/>
  <c r="W78" i="7"/>
  <c r="W79" i="7"/>
  <c r="W80" i="7"/>
  <c r="X52" i="6"/>
  <c r="AB149" i="9"/>
  <c r="AB148" i="9"/>
  <c r="AB147" i="9"/>
  <c r="AB146" i="9"/>
  <c r="AB145" i="9"/>
  <c r="AB144" i="9"/>
  <c r="AB143" i="9"/>
  <c r="AB142" i="9"/>
  <c r="AB141" i="9"/>
  <c r="AB140" i="9"/>
  <c r="AB139" i="9"/>
  <c r="AB138" i="9"/>
  <c r="AB137" i="9"/>
  <c r="AB136" i="9"/>
  <c r="AB135" i="9"/>
  <c r="AB134" i="9"/>
  <c r="AB133" i="9"/>
  <c r="AB132" i="9"/>
  <c r="AB131" i="9"/>
  <c r="AB129" i="9"/>
  <c r="AB128" i="9"/>
  <c r="AB127" i="9"/>
  <c r="AB151" i="9" s="1"/>
  <c r="AB126" i="9"/>
  <c r="Y80" i="7"/>
  <c r="Y79" i="7"/>
  <c r="Y78" i="7"/>
  <c r="Y77" i="7"/>
  <c r="Y76" i="7"/>
  <c r="Y75" i="7"/>
  <c r="Y74" i="7"/>
  <c r="Y73" i="7"/>
  <c r="Y72" i="7"/>
  <c r="Z181" i="9" l="1"/>
  <c r="Z151" i="9"/>
  <c r="AF151" i="9" s="1"/>
  <c r="AB181" i="9"/>
  <c r="Y81" i="7"/>
  <c r="AC40" i="6" l="1" a="1"/>
  <c r="AC41" i="6" a="1"/>
  <c r="AC42" i="6" a="1"/>
  <c r="AC43" i="6" a="1"/>
  <c r="AC39" i="6" a="1"/>
  <c r="Y69" i="7"/>
  <c r="Y61" i="7"/>
  <c r="Y62" i="7"/>
  <c r="Y63" i="7"/>
  <c r="Y64" i="7"/>
  <c r="Y65" i="7"/>
  <c r="Y66" i="7"/>
  <c r="Y67" i="7"/>
  <c r="Y68" i="7"/>
  <c r="Y60" i="7"/>
  <c r="AA122" i="9"/>
  <c r="Z122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98" i="9"/>
  <c r="W69" i="7"/>
  <c r="Z69" i="7" s="1"/>
  <c r="X69" i="7"/>
  <c r="X74" i="9"/>
  <c r="X73" i="9"/>
  <c r="X78" i="9"/>
  <c r="Z94" i="9"/>
  <c r="AA94" i="9"/>
  <c r="AB72" i="9"/>
  <c r="AB73" i="9"/>
  <c r="AB74" i="9"/>
  <c r="AB75" i="9"/>
  <c r="AB76" i="9"/>
  <c r="AB77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71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7" i="9"/>
  <c r="X76" i="9"/>
  <c r="X75" i="9"/>
  <c r="X72" i="9"/>
  <c r="X71" i="9"/>
  <c r="AD2" i="12"/>
  <c r="AD2" i="11"/>
  <c r="X28" i="6" a="1"/>
  <c r="X29" i="6" a="1"/>
  <c r="X30" i="6" a="1"/>
  <c r="X31" i="6" a="1"/>
  <c r="X32" i="6" a="1"/>
  <c r="T35" i="7"/>
  <c r="T36" i="7"/>
  <c r="T37" i="7"/>
  <c r="T38" i="7"/>
  <c r="T39" i="7"/>
  <c r="T40" i="7"/>
  <c r="T41" i="7"/>
  <c r="T42" i="7"/>
  <c r="T34" i="7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44" i="9"/>
  <c r="AJ42" i="9"/>
  <c r="AI42" i="9"/>
  <c r="AH42" i="9"/>
  <c r="AG42" i="9"/>
  <c r="AF42" i="9"/>
  <c r="AE42" i="9"/>
  <c r="AD42" i="9"/>
  <c r="AC42" i="9"/>
  <c r="AB42" i="9"/>
  <c r="AE2" i="7"/>
  <c r="AF2" i="5"/>
  <c r="AD18" i="5" s="1"/>
  <c r="AI2" i="6"/>
  <c r="AI2" i="1"/>
  <c r="AI48" i="11" l="1"/>
  <c r="AH48" i="11"/>
  <c r="AG48" i="11"/>
  <c r="AF48" i="11"/>
  <c r="AE48" i="11"/>
  <c r="AD48" i="11"/>
  <c r="AC48" i="11"/>
  <c r="AB48" i="11"/>
  <c r="AA48" i="11"/>
  <c r="Z48" i="11"/>
  <c r="Y48" i="11"/>
  <c r="X48" i="11"/>
  <c r="AB122" i="9"/>
  <c r="AC122" i="9" s="1"/>
  <c r="T37" i="11"/>
  <c r="U37" i="11"/>
  <c r="D26" i="3"/>
  <c r="AM66" i="1"/>
  <c r="AI66" i="1"/>
  <c r="AN66" i="1"/>
  <c r="AH66" i="1"/>
  <c r="AE66" i="1"/>
  <c r="AL66" i="1"/>
  <c r="AG66" i="1"/>
  <c r="AD66" i="1"/>
  <c r="AJ66" i="1"/>
  <c r="AF66" i="1"/>
  <c r="AC66" i="1"/>
  <c r="AK66" i="1"/>
  <c r="X94" i="9"/>
  <c r="AB94" i="9"/>
  <c r="AD20" i="12"/>
  <c r="AE4" i="12"/>
  <c r="AA13" i="12"/>
  <c r="AC13" i="12"/>
  <c r="AD4" i="12"/>
  <c r="AG4" i="12"/>
  <c r="AF13" i="12"/>
  <c r="AF20" i="12"/>
  <c r="AF4" i="12"/>
  <c r="B36" i="12"/>
  <c r="Z20" i="12"/>
  <c r="AG20" i="12"/>
  <c r="B4" i="12"/>
  <c r="B28" i="12"/>
  <c r="Z4" i="12"/>
  <c r="AB4" i="12"/>
  <c r="AE13" i="12"/>
  <c r="W4" i="12"/>
  <c r="AG13" i="12"/>
  <c r="X4" i="12"/>
  <c r="B20" i="12"/>
  <c r="AI20" i="12"/>
  <c r="AH13" i="12"/>
  <c r="Y4" i="12"/>
  <c r="AE20" i="12"/>
  <c r="AD13" i="12"/>
  <c r="AI4" i="12"/>
  <c r="U4" i="12"/>
  <c r="AC20" i="12"/>
  <c r="B13" i="12"/>
  <c r="V4" i="12"/>
  <c r="AB20" i="12"/>
  <c r="T4" i="12"/>
  <c r="AA20" i="12"/>
  <c r="S4" i="12"/>
  <c r="AB13" i="12"/>
  <c r="AA4" i="12"/>
  <c r="Y20" i="12"/>
  <c r="X20" i="12"/>
  <c r="AH4" i="12"/>
  <c r="AI13" i="12"/>
  <c r="AC4" i="12"/>
  <c r="AH20" i="12"/>
  <c r="T43" i="7"/>
  <c r="W43" i="7" s="1"/>
  <c r="AF37" i="11"/>
  <c r="Z4" i="11"/>
  <c r="Z20" i="11"/>
  <c r="AC4" i="11"/>
  <c r="AF4" i="11"/>
  <c r="AE20" i="11"/>
  <c r="AE13" i="11"/>
  <c r="AF13" i="11"/>
  <c r="X37" i="11"/>
  <c r="AA20" i="11"/>
  <c r="AD4" i="11"/>
  <c r="AD20" i="11"/>
  <c r="B28" i="11"/>
  <c r="AG13" i="11"/>
  <c r="Y37" i="11"/>
  <c r="W4" i="11"/>
  <c r="X4" i="11"/>
  <c r="X20" i="11"/>
  <c r="B13" i="11"/>
  <c r="U4" i="11"/>
  <c r="AA13" i="11"/>
  <c r="V37" i="11"/>
  <c r="V4" i="11"/>
  <c r="AC13" i="11"/>
  <c r="W37" i="11"/>
  <c r="AD37" i="11"/>
  <c r="AA4" i="11"/>
  <c r="AC20" i="11"/>
  <c r="AE37" i="11"/>
  <c r="AG37" i="11"/>
  <c r="AE4" i="11"/>
  <c r="AF20" i="11"/>
  <c r="AI37" i="11"/>
  <c r="AH4" i="11"/>
  <c r="AG20" i="11"/>
  <c r="B4" i="11"/>
  <c r="AH20" i="11"/>
  <c r="AA37" i="11"/>
  <c r="B20" i="11"/>
  <c r="AI13" i="11"/>
  <c r="Z37" i="11"/>
  <c r="AH13" i="11"/>
  <c r="AH37" i="11"/>
  <c r="B37" i="11"/>
  <c r="AB20" i="11"/>
  <c r="AB13" i="11"/>
  <c r="AG4" i="11"/>
  <c r="S4" i="11"/>
  <c r="AC37" i="11"/>
  <c r="AB4" i="11"/>
  <c r="AI4" i="11"/>
  <c r="T4" i="11"/>
  <c r="AI20" i="11"/>
  <c r="Y4" i="11"/>
  <c r="AD13" i="11"/>
  <c r="Y20" i="11"/>
  <c r="AB37" i="11"/>
  <c r="T66" i="9"/>
  <c r="V67" i="9" s="1"/>
  <c r="AG26" i="6"/>
  <c r="AI26" i="6"/>
  <c r="AJ26" i="6"/>
  <c r="AF26" i="6"/>
  <c r="AH26" i="6"/>
  <c r="AK26" i="6"/>
  <c r="AL26" i="6"/>
  <c r="AM26" i="6"/>
  <c r="AN26" i="6"/>
  <c r="AF39" i="1"/>
  <c r="AE39" i="1"/>
  <c r="AI39" i="1"/>
  <c r="AM39" i="1"/>
  <c r="AJ39" i="1"/>
  <c r="AK39" i="1"/>
  <c r="AL39" i="1"/>
  <c r="AC39" i="1"/>
  <c r="AG39" i="1"/>
  <c r="AH39" i="1"/>
  <c r="AN39" i="1"/>
  <c r="AD39" i="1"/>
  <c r="B16" i="10"/>
  <c r="Y6" i="10"/>
  <c r="T6" i="10"/>
  <c r="U6" i="10"/>
  <c r="X6" i="10"/>
  <c r="B23" i="10"/>
  <c r="W6" i="10"/>
  <c r="V6" i="10"/>
  <c r="B6" i="10"/>
  <c r="AC96" i="9"/>
  <c r="AG15" i="9"/>
  <c r="AB96" i="9"/>
  <c r="AD96" i="9"/>
  <c r="B3" i="9"/>
  <c r="AE15" i="9"/>
  <c r="U96" i="9"/>
  <c r="AF15" i="9"/>
  <c r="V96" i="9"/>
  <c r="AH15" i="9"/>
  <c r="AH96" i="9"/>
  <c r="AJ96" i="9"/>
  <c r="T96" i="9"/>
  <c r="AI15" i="9"/>
  <c r="Z96" i="9"/>
  <c r="AI96" i="9"/>
  <c r="AG96" i="9"/>
  <c r="Y96" i="9"/>
  <c r="AD15" i="9"/>
  <c r="AB15" i="9"/>
  <c r="AF96" i="9"/>
  <c r="X96" i="9"/>
  <c r="AC15" i="9"/>
  <c r="AE96" i="9"/>
  <c r="W96" i="9"/>
  <c r="AJ15" i="9"/>
  <c r="AA96" i="9"/>
  <c r="B18" i="7"/>
  <c r="AF18" i="7"/>
  <c r="AD18" i="7"/>
  <c r="B44" i="7"/>
  <c r="AC18" i="7"/>
  <c r="AI18" i="7"/>
  <c r="B58" i="7"/>
  <c r="AE18" i="7"/>
  <c r="AB18" i="7"/>
  <c r="AH18" i="7"/>
  <c r="AG18" i="7"/>
  <c r="B6" i="7"/>
  <c r="AJ18" i="7"/>
  <c r="B32" i="7"/>
  <c r="AA137" i="5"/>
  <c r="AH107" i="5"/>
  <c r="U131" i="5"/>
  <c r="AB107" i="5"/>
  <c r="AK125" i="5"/>
  <c r="AA107" i="5"/>
  <c r="V125" i="5"/>
  <c r="U101" i="5"/>
  <c r="AA143" i="5"/>
  <c r="U125" i="5"/>
  <c r="Z143" i="5"/>
  <c r="AF119" i="5"/>
  <c r="AC137" i="5"/>
  <c r="AG113" i="5"/>
  <c r="AB137" i="5"/>
  <c r="AA113" i="5"/>
  <c r="U137" i="5"/>
  <c r="AE119" i="5"/>
  <c r="Z107" i="5"/>
  <c r="AG143" i="5"/>
  <c r="AB131" i="5"/>
  <c r="AI113" i="5"/>
  <c r="AB101" i="5"/>
  <c r="AJ18" i="5"/>
  <c r="AB143" i="5"/>
  <c r="V131" i="5"/>
  <c r="AH113" i="5"/>
  <c r="AA101" i="5"/>
  <c r="AC18" i="5"/>
  <c r="Y143" i="5"/>
  <c r="AK131" i="5"/>
  <c r="AE125" i="5"/>
  <c r="AD119" i="5"/>
  <c r="Z113" i="5"/>
  <c r="AK101" i="5"/>
  <c r="AJ143" i="5"/>
  <c r="AK137" i="5"/>
  <c r="AJ131" i="5"/>
  <c r="AD125" i="5"/>
  <c r="X119" i="5"/>
  <c r="Y113" i="5"/>
  <c r="AJ101" i="5"/>
  <c r="AI143" i="5"/>
  <c r="AJ137" i="5"/>
  <c r="AD131" i="5"/>
  <c r="AC125" i="5"/>
  <c r="W119" i="5"/>
  <c r="AJ107" i="5"/>
  <c r="AI101" i="5"/>
  <c r="AH143" i="5"/>
  <c r="AI137" i="5"/>
  <c r="AC131" i="5"/>
  <c r="W125" i="5"/>
  <c r="V119" i="5"/>
  <c r="AI107" i="5"/>
  <c r="AC101" i="5"/>
  <c r="AK18" i="5"/>
  <c r="AH137" i="5"/>
  <c r="Z137" i="5"/>
  <c r="AI131" i="5"/>
  <c r="AA131" i="5"/>
  <c r="AJ125" i="5"/>
  <c r="AB125" i="5"/>
  <c r="AK119" i="5"/>
  <c r="AC119" i="5"/>
  <c r="U119" i="5"/>
  <c r="AF113" i="5"/>
  <c r="X113" i="5"/>
  <c r="AG107" i="5"/>
  <c r="Y107" i="5"/>
  <c r="AH101" i="5"/>
  <c r="Z101" i="5"/>
  <c r="AI18" i="5"/>
  <c r="AE143" i="5"/>
  <c r="W143" i="5"/>
  <c r="X137" i="5"/>
  <c r="AG131" i="5"/>
  <c r="Y131" i="5"/>
  <c r="AH125" i="5"/>
  <c r="Z125" i="5"/>
  <c r="AI119" i="5"/>
  <c r="AA119" i="5"/>
  <c r="AD113" i="5"/>
  <c r="V113" i="5"/>
  <c r="AE107" i="5"/>
  <c r="W107" i="5"/>
  <c r="AF101" i="5"/>
  <c r="X101" i="5"/>
  <c r="AF18" i="5"/>
  <c r="AD143" i="5"/>
  <c r="V143" i="5"/>
  <c r="AE137" i="5"/>
  <c r="W137" i="5"/>
  <c r="AF131" i="5"/>
  <c r="X131" i="5"/>
  <c r="AG125" i="5"/>
  <c r="Y125" i="5"/>
  <c r="AH119" i="5"/>
  <c r="Z119" i="5"/>
  <c r="AK113" i="5"/>
  <c r="AC113" i="5"/>
  <c r="U113" i="5"/>
  <c r="AD107" i="5"/>
  <c r="V107" i="5"/>
  <c r="AE101" i="5"/>
  <c r="W101" i="5"/>
  <c r="AE18" i="5"/>
  <c r="AF143" i="5"/>
  <c r="X143" i="5"/>
  <c r="AG137" i="5"/>
  <c r="Y137" i="5"/>
  <c r="AH131" i="5"/>
  <c r="Z131" i="5"/>
  <c r="AI125" i="5"/>
  <c r="AA125" i="5"/>
  <c r="AJ119" i="5"/>
  <c r="AB119" i="5"/>
  <c r="AE113" i="5"/>
  <c r="W113" i="5"/>
  <c r="AF107" i="5"/>
  <c r="X107" i="5"/>
  <c r="AG101" i="5"/>
  <c r="Y101" i="5"/>
  <c r="AH18" i="5"/>
  <c r="AF137" i="5"/>
  <c r="AK143" i="5"/>
  <c r="AC143" i="5"/>
  <c r="U143" i="5"/>
  <c r="AD137" i="5"/>
  <c r="V137" i="5"/>
  <c r="AE131" i="5"/>
  <c r="W131" i="5"/>
  <c r="AF125" i="5"/>
  <c r="X125" i="5"/>
  <c r="AG119" i="5"/>
  <c r="Y119" i="5"/>
  <c r="AJ113" i="5"/>
  <c r="AB113" i="5"/>
  <c r="AK107" i="5"/>
  <c r="AC107" i="5"/>
  <c r="U107" i="5"/>
  <c r="AD101" i="5"/>
  <c r="V101" i="5"/>
  <c r="AG18" i="5"/>
  <c r="AK6" i="6"/>
  <c r="AL16" i="6"/>
  <c r="AM16" i="6"/>
  <c r="AA6" i="6"/>
  <c r="AI37" i="6"/>
  <c r="AF6" i="6"/>
  <c r="AK37" i="6"/>
  <c r="B16" i="6"/>
  <c r="Z6" i="6"/>
  <c r="AN16" i="6"/>
  <c r="AB6" i="6"/>
  <c r="AJ37" i="6"/>
  <c r="AG6" i="6"/>
  <c r="B48" i="6"/>
  <c r="AN37" i="6"/>
  <c r="AF37" i="6"/>
  <c r="AH16" i="6"/>
  <c r="AM6" i="6"/>
  <c r="AE6" i="6"/>
  <c r="B6" i="6"/>
  <c r="AM37" i="6"/>
  <c r="AD37" i="6"/>
  <c r="B37" i="6"/>
  <c r="AG16" i="6"/>
  <c r="AN6" i="6"/>
  <c r="AD6" i="6"/>
  <c r="AL37" i="6"/>
  <c r="AC37" i="6"/>
  <c r="AF16" i="6"/>
  <c r="AL6" i="6"/>
  <c r="AC6" i="6"/>
  <c r="AH6" i="6"/>
  <c r="AI16" i="6"/>
  <c r="AE37" i="6"/>
  <c r="X6" i="6"/>
  <c r="AI6" i="6"/>
  <c r="AJ16" i="6"/>
  <c r="AG37" i="6"/>
  <c r="Y6" i="6"/>
  <c r="AJ6" i="6"/>
  <c r="AK16" i="6"/>
  <c r="AH37" i="6"/>
  <c r="N101" i="5"/>
  <c r="T143" i="5"/>
  <c r="M143" i="5"/>
  <c r="F143" i="5"/>
  <c r="Q137" i="5"/>
  <c r="K137" i="5"/>
  <c r="B137" i="5"/>
  <c r="O131" i="5"/>
  <c r="H131" i="5"/>
  <c r="S125" i="5"/>
  <c r="E125" i="5"/>
  <c r="S143" i="5"/>
  <c r="E143" i="5"/>
  <c r="J137" i="5"/>
  <c r="N131" i="5"/>
  <c r="G131" i="5"/>
  <c r="R125" i="5"/>
  <c r="L125" i="5"/>
  <c r="D125" i="5"/>
  <c r="R143" i="5"/>
  <c r="J143" i="5"/>
  <c r="S137" i="5"/>
  <c r="I137" i="5"/>
  <c r="R131" i="5"/>
  <c r="J131" i="5"/>
  <c r="Q125" i="5"/>
  <c r="I125" i="5"/>
  <c r="R119" i="5"/>
  <c r="L119" i="5"/>
  <c r="D119" i="5"/>
  <c r="Q143" i="5"/>
  <c r="I143" i="5"/>
  <c r="R137" i="5"/>
  <c r="H137" i="5"/>
  <c r="Q131" i="5"/>
  <c r="I131" i="5"/>
  <c r="H125" i="5"/>
  <c r="D143" i="5"/>
  <c r="D131" i="5"/>
  <c r="K125" i="5"/>
  <c r="Q119" i="5"/>
  <c r="J119" i="5"/>
  <c r="J113" i="5"/>
  <c r="N107" i="5"/>
  <c r="G107" i="5"/>
  <c r="R101" i="5"/>
  <c r="L101" i="5"/>
  <c r="D101" i="5"/>
  <c r="P143" i="5"/>
  <c r="B143" i="5"/>
  <c r="L137" i="5"/>
  <c r="P131" i="5"/>
  <c r="B131" i="5"/>
  <c r="J125" i="5"/>
  <c r="I119" i="5"/>
  <c r="P113" i="5"/>
  <c r="I113" i="5"/>
  <c r="T107" i="5"/>
  <c r="M107" i="5"/>
  <c r="F107" i="5"/>
  <c r="Q101" i="5"/>
  <c r="K101" i="5"/>
  <c r="B101" i="5"/>
  <c r="O143" i="5"/>
  <c r="N137" i="5"/>
  <c r="L131" i="5"/>
  <c r="G125" i="5"/>
  <c r="P119" i="5"/>
  <c r="F119" i="5"/>
  <c r="M113" i="5"/>
  <c r="D113" i="5"/>
  <c r="B107" i="5"/>
  <c r="M101" i="5"/>
  <c r="B73" i="5"/>
  <c r="N143" i="5"/>
  <c r="M137" i="5"/>
  <c r="K131" i="5"/>
  <c r="F125" i="5"/>
  <c r="O119" i="5"/>
  <c r="E119" i="5"/>
  <c r="B113" i="5"/>
  <c r="L107" i="5"/>
  <c r="L143" i="5"/>
  <c r="G137" i="5"/>
  <c r="F131" i="5"/>
  <c r="B125" i="5"/>
  <c r="N119" i="5"/>
  <c r="B119" i="5"/>
  <c r="G143" i="5"/>
  <c r="D137" i="5"/>
  <c r="L113" i="5"/>
  <c r="Q107" i="5"/>
  <c r="E107" i="5"/>
  <c r="J101" i="5"/>
  <c r="P137" i="5"/>
  <c r="M131" i="5"/>
  <c r="N125" i="5"/>
  <c r="R113" i="5"/>
  <c r="K107" i="5"/>
  <c r="F101" i="5"/>
  <c r="B45" i="5"/>
  <c r="M125" i="5"/>
  <c r="Q113" i="5"/>
  <c r="J107" i="5"/>
  <c r="P101" i="5"/>
  <c r="E101" i="5"/>
  <c r="S107" i="5"/>
  <c r="I107" i="5"/>
  <c r="O101" i="5"/>
  <c r="T125" i="5"/>
  <c r="T119" i="5"/>
  <c r="K113" i="5"/>
  <c r="D107" i="5"/>
  <c r="I101" i="5"/>
  <c r="T131" i="5"/>
  <c r="P125" i="5"/>
  <c r="S119" i="5"/>
  <c r="T113" i="5"/>
  <c r="H113" i="5"/>
  <c r="P107" i="5"/>
  <c r="T101" i="5"/>
  <c r="H101" i="5"/>
  <c r="B18" i="5"/>
  <c r="T137" i="5"/>
  <c r="S131" i="5"/>
  <c r="O125" i="5"/>
  <c r="M119" i="5"/>
  <c r="S113" i="5"/>
  <c r="G113" i="5"/>
  <c r="O107" i="5"/>
  <c r="S101" i="5"/>
  <c r="G101" i="5"/>
  <c r="F113" i="5"/>
  <c r="O137" i="5"/>
  <c r="K119" i="5"/>
  <c r="E113" i="5"/>
  <c r="K143" i="5"/>
  <c r="F137" i="5"/>
  <c r="E131" i="5"/>
  <c r="H119" i="5"/>
  <c r="O113" i="5"/>
  <c r="R107" i="5"/>
  <c r="B6" i="5"/>
  <c r="H107" i="5"/>
  <c r="H143" i="5"/>
  <c r="N113" i="5"/>
  <c r="G119" i="5"/>
  <c r="E137" i="5"/>
  <c r="F26" i="3"/>
  <c r="E26" i="3"/>
  <c r="AN52" i="1"/>
  <c r="AM52" i="1"/>
  <c r="AL52" i="1"/>
  <c r="AK52" i="1"/>
  <c r="AJ52" i="1"/>
  <c r="AI52" i="1"/>
  <c r="AH52" i="1"/>
  <c r="AG52" i="1"/>
  <c r="AF52" i="1"/>
  <c r="AE52" i="1"/>
  <c r="AD52" i="1"/>
  <c r="AC52" i="1"/>
  <c r="B52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B26" i="1"/>
  <c r="B16" i="1"/>
  <c r="AN16" i="1"/>
  <c r="AM16" i="1"/>
  <c r="AL16" i="1"/>
  <c r="AK16" i="1"/>
  <c r="AJ16" i="1"/>
  <c r="AI16" i="1"/>
  <c r="AH16" i="1"/>
  <c r="AG16" i="1"/>
  <c r="AF16" i="1"/>
  <c r="AI50" i="11" l="1"/>
  <c r="AI52" i="11"/>
  <c r="AI54" i="11"/>
  <c r="AI55" i="11"/>
  <c r="AI56" i="11"/>
  <c r="AI57" i="11"/>
  <c r="AH50" i="11"/>
  <c r="AH52" i="11"/>
  <c r="AH54" i="11"/>
  <c r="AH55" i="11"/>
  <c r="AH56" i="11"/>
  <c r="AH57" i="11"/>
  <c r="AG50" i="11"/>
  <c r="AG52" i="11"/>
  <c r="AG54" i="11"/>
  <c r="AG55" i="11"/>
  <c r="AG56" i="11"/>
  <c r="AG57" i="11"/>
  <c r="AF50" i="11"/>
  <c r="AF52" i="11"/>
  <c r="AF54" i="11"/>
  <c r="AF55" i="11"/>
  <c r="AF56" i="11"/>
  <c r="AF57" i="11"/>
  <c r="AE50" i="11"/>
  <c r="AE52" i="11"/>
  <c r="AE54" i="11"/>
  <c r="AE55" i="11"/>
  <c r="AE56" i="11"/>
  <c r="AE57" i="11"/>
  <c r="AD50" i="11"/>
  <c r="AD52" i="11"/>
  <c r="AD54" i="11"/>
  <c r="AD55" i="11"/>
  <c r="AD56" i="11"/>
  <c r="AD57" i="11"/>
  <c r="AC50" i="11"/>
  <c r="AC52" i="11"/>
  <c r="AC54" i="11"/>
  <c r="AC55" i="11"/>
  <c r="AC56" i="11"/>
  <c r="AC57" i="11"/>
  <c r="AB50" i="11"/>
  <c r="AB52" i="11"/>
  <c r="AB54" i="11"/>
  <c r="AB55" i="11"/>
  <c r="AB56" i="11"/>
  <c r="AB57" i="11"/>
  <c r="AA50" i="11"/>
  <c r="AA52" i="11"/>
  <c r="AA54" i="11"/>
  <c r="AA55" i="11"/>
  <c r="AA56" i="11"/>
  <c r="AA57" i="11"/>
  <c r="Z50" i="11"/>
  <c r="Z52" i="11"/>
  <c r="Z54" i="11"/>
  <c r="Z55" i="11"/>
  <c r="Z56" i="11"/>
  <c r="Z57" i="11"/>
  <c r="Y50" i="11"/>
  <c r="Y52" i="11"/>
  <c r="Y54" i="11"/>
  <c r="Y55" i="11"/>
  <c r="Y56" i="11"/>
  <c r="Y57" i="11"/>
  <c r="X50" i="11"/>
  <c r="X52" i="11"/>
  <c r="X54" i="11"/>
  <c r="X55" i="11"/>
  <c r="X56" i="11"/>
  <c r="X57" i="11"/>
  <c r="W55" i="11"/>
  <c r="W56" i="11"/>
  <c r="W57" i="11"/>
  <c r="V55" i="11"/>
  <c r="V56" i="11"/>
  <c r="V57" i="11"/>
  <c r="U55" i="11"/>
  <c r="U56" i="11"/>
  <c r="U57" i="11"/>
  <c r="T55" i="11"/>
  <c r="T56" i="11"/>
  <c r="T57" i="11"/>
  <c r="S55" i="11"/>
  <c r="R55" i="11"/>
  <c r="Q55" i="11"/>
  <c r="P55" i="11"/>
  <c r="O55" i="11"/>
  <c r="N55" i="11"/>
  <c r="K55" i="11"/>
  <c r="M55" i="11"/>
  <c r="L55" i="11"/>
  <c r="D55" i="11"/>
  <c r="E55" i="11"/>
  <c r="F55" i="11"/>
  <c r="G55" i="11"/>
  <c r="H55" i="11"/>
  <c r="I55" i="11"/>
  <c r="J55" i="11"/>
  <c r="L57" i="11"/>
  <c r="K57" i="11"/>
  <c r="I57" i="11"/>
  <c r="H57" i="11"/>
  <c r="G57" i="11"/>
  <c r="F57" i="11"/>
  <c r="E57" i="11"/>
  <c r="D57" i="11"/>
  <c r="J57" i="11"/>
  <c r="S57" i="11"/>
  <c r="R57" i="11"/>
  <c r="Q57" i="11"/>
  <c r="P57" i="11"/>
  <c r="O57" i="11"/>
  <c r="N57" i="11"/>
  <c r="M57" i="11"/>
  <c r="S56" i="11"/>
  <c r="R56" i="11"/>
  <c r="Q56" i="11"/>
  <c r="P56" i="11"/>
  <c r="O56" i="11"/>
  <c r="N56" i="11"/>
  <c r="L56" i="11"/>
  <c r="K56" i="11"/>
  <c r="E56" i="11"/>
  <c r="M56" i="11"/>
  <c r="F56" i="11"/>
  <c r="G56" i="11"/>
  <c r="H56" i="11"/>
  <c r="I56" i="11"/>
  <c r="J56" i="11"/>
  <c r="D56" i="11"/>
  <c r="AC69" i="5"/>
  <c r="AI51" i="12"/>
  <c r="AH51" i="12"/>
  <c r="AG51" i="12"/>
  <c r="AF51" i="12"/>
  <c r="AE51" i="12"/>
  <c r="AD51" i="12"/>
  <c r="AC51" i="12"/>
  <c r="AB51" i="12"/>
  <c r="AA51" i="12"/>
  <c r="Z51" i="12"/>
  <c r="Y51" i="12"/>
  <c r="G51" i="12"/>
  <c r="F51" i="12"/>
  <c r="E51" i="12"/>
  <c r="D51" i="12"/>
  <c r="Z47" i="12"/>
  <c r="AI47" i="12"/>
  <c r="AH47" i="12"/>
  <c r="AG47" i="12"/>
  <c r="AF47" i="12"/>
  <c r="AE47" i="12"/>
  <c r="AD47" i="12"/>
  <c r="AC47" i="12"/>
  <c r="AB47" i="12"/>
  <c r="AA47" i="12"/>
  <c r="Y47" i="12"/>
  <c r="X47" i="12"/>
  <c r="Z74" i="7"/>
  <c r="AI50" i="12"/>
  <c r="AH50" i="12"/>
  <c r="AG50" i="12"/>
  <c r="AF50" i="12"/>
  <c r="AE50" i="12"/>
  <c r="AD50" i="12"/>
  <c r="AC50" i="12"/>
  <c r="AA50" i="12"/>
  <c r="Z50" i="12"/>
  <c r="Y50" i="12"/>
  <c r="X50" i="12"/>
  <c r="AB50" i="12"/>
  <c r="Z73" i="7"/>
  <c r="AI49" i="12"/>
  <c r="AF49" i="12"/>
  <c r="AE49" i="12"/>
  <c r="AD49" i="12"/>
  <c r="AC49" i="12"/>
  <c r="AB49" i="12"/>
  <c r="AA49" i="12"/>
  <c r="Z49" i="12"/>
  <c r="Y49" i="12"/>
  <c r="AH49" i="12"/>
  <c r="X49" i="12"/>
  <c r="AG49" i="12"/>
  <c r="AJ97" i="5"/>
  <c r="AI145" i="5"/>
  <c r="W48" i="1"/>
  <c r="Z145" i="5"/>
  <c r="X109" i="5"/>
  <c r="AE103" i="5"/>
  <c r="Y127" i="5"/>
  <c r="AE97" i="5"/>
  <c r="AG121" i="5"/>
  <c r="AG127" i="5"/>
  <c r="AB97" i="5"/>
  <c r="U127" i="5"/>
  <c r="AF127" i="5"/>
  <c r="W115" i="5"/>
  <c r="AG139" i="5"/>
  <c r="AK39" i="6"/>
  <c r="V69" i="5"/>
  <c r="V139" i="5"/>
  <c r="AH97" i="5"/>
  <c r="AI115" i="5"/>
  <c r="I48" i="1"/>
  <c r="U8" i="10"/>
  <c r="Z8" i="6"/>
  <c r="Y139" i="5"/>
  <c r="AF50" i="6"/>
  <c r="Y109" i="5"/>
  <c r="U103" i="5"/>
  <c r="AE133" i="5"/>
  <c r="Z97" i="5"/>
  <c r="X145" i="5"/>
  <c r="V127" i="5"/>
  <c r="W97" i="5"/>
  <c r="Y103" i="5"/>
  <c r="AF103" i="5"/>
  <c r="Z115" i="5"/>
  <c r="AG145" i="5"/>
  <c r="W109" i="5"/>
  <c r="AA69" i="5"/>
  <c r="AC127" i="5"/>
  <c r="AD121" i="5"/>
  <c r="AL50" i="6"/>
  <c r="AH121" i="5"/>
  <c r="AH103" i="5"/>
  <c r="AJ139" i="5"/>
  <c r="AD69" i="5"/>
  <c r="AH50" i="6"/>
  <c r="AE69" i="5"/>
  <c r="W133" i="5"/>
  <c r="AF109" i="5"/>
  <c r="W69" i="5"/>
  <c r="V103" i="5"/>
  <c r="AD139" i="5"/>
  <c r="AK97" i="5"/>
  <c r="X8" i="10"/>
  <c r="AF8" i="6"/>
  <c r="X103" i="5"/>
  <c r="AE145" i="5"/>
  <c r="AK103" i="5"/>
  <c r="AB133" i="5"/>
  <c r="AA145" i="5"/>
  <c r="L48" i="1"/>
  <c r="AC22" i="11"/>
  <c r="AG109" i="5"/>
  <c r="AC103" i="5"/>
  <c r="AD133" i="5"/>
  <c r="AE127" i="5"/>
  <c r="Z109" i="5"/>
  <c r="U97" i="5"/>
  <c r="X127" i="5"/>
  <c r="AG103" i="5"/>
  <c r="AF145" i="5"/>
  <c r="AI121" i="5"/>
  <c r="AK133" i="5"/>
  <c r="AI109" i="5"/>
  <c r="AB69" i="5"/>
  <c r="Z127" i="5"/>
  <c r="V121" i="5"/>
  <c r="AD97" i="5"/>
  <c r="Y145" i="5"/>
  <c r="AA109" i="5"/>
  <c r="V109" i="5"/>
  <c r="AF115" i="5"/>
  <c r="U139" i="5"/>
  <c r="AK127" i="5"/>
  <c r="N103" i="5"/>
  <c r="AD109" i="5"/>
  <c r="AH127" i="5"/>
  <c r="U121" i="5"/>
  <c r="W127" i="5"/>
  <c r="AJ103" i="5"/>
  <c r="AK69" i="5"/>
  <c r="AB109" i="5"/>
  <c r="P48" i="1"/>
  <c r="AI39" i="6"/>
  <c r="X115" i="5"/>
  <c r="R97" i="5"/>
  <c r="AM50" i="6"/>
  <c r="AG50" i="6"/>
  <c r="AK109" i="5"/>
  <c r="AF139" i="5"/>
  <c r="AA127" i="5"/>
  <c r="U115" i="5"/>
  <c r="Y69" i="5"/>
  <c r="Y133" i="5"/>
  <c r="AC121" i="5"/>
  <c r="AC133" i="5"/>
  <c r="Y115" i="5"/>
  <c r="AA103" i="5"/>
  <c r="AA115" i="5"/>
  <c r="U133" i="5"/>
  <c r="V145" i="5"/>
  <c r="AE121" i="5"/>
  <c r="AC115" i="5"/>
  <c r="AH69" i="5"/>
  <c r="AI139" i="5"/>
  <c r="AB139" i="5"/>
  <c r="AD103" i="5"/>
  <c r="AE115" i="5"/>
  <c r="AD145" i="5"/>
  <c r="AJ39" i="6"/>
  <c r="AB115" i="5"/>
  <c r="AI127" i="5"/>
  <c r="AG133" i="5"/>
  <c r="AK121" i="5"/>
  <c r="X121" i="5"/>
  <c r="AH115" i="5"/>
  <c r="AB8" i="6"/>
  <c r="AK8" i="6"/>
  <c r="AJ115" i="5"/>
  <c r="Z69" i="5"/>
  <c r="Z133" i="5"/>
  <c r="AK115" i="5"/>
  <c r="Y97" i="5"/>
  <c r="X139" i="5"/>
  <c r="AB127" i="5"/>
  <c r="AH145" i="5"/>
  <c r="AD127" i="5"/>
  <c r="Y50" i="6"/>
  <c r="Y121" i="5"/>
  <c r="AI69" i="5"/>
  <c r="AH133" i="5"/>
  <c r="Z121" i="5"/>
  <c r="AG97" i="5"/>
  <c r="W145" i="5"/>
  <c r="AJ127" i="5"/>
  <c r="U69" i="5"/>
  <c r="AG69" i="5"/>
  <c r="X133" i="5"/>
  <c r="AE109" i="5"/>
  <c r="AJ69" i="5"/>
  <c r="AA133" i="5"/>
  <c r="AC97" i="5"/>
  <c r="AJ133" i="5"/>
  <c r="V133" i="5"/>
  <c r="AG115" i="5"/>
  <c r="AH109" i="5"/>
  <c r="X97" i="5"/>
  <c r="AF133" i="5"/>
  <c r="V115" i="5"/>
  <c r="AA97" i="5"/>
  <c r="AI133" i="5"/>
  <c r="AI103" i="5"/>
  <c r="AK139" i="5"/>
  <c r="AB145" i="5"/>
  <c r="AC139" i="5"/>
  <c r="AA139" i="5"/>
  <c r="U145" i="5"/>
  <c r="M69" i="5"/>
  <c r="AA8" i="6"/>
  <c r="U109" i="5"/>
  <c r="AC145" i="5"/>
  <c r="AB121" i="5"/>
  <c r="AF97" i="5"/>
  <c r="W139" i="5"/>
  <c r="AD115" i="5"/>
  <c r="AI97" i="5"/>
  <c r="Z139" i="5"/>
  <c r="AJ109" i="5"/>
  <c r="AJ145" i="5"/>
  <c r="V97" i="5"/>
  <c r="T48" i="1"/>
  <c r="AG8" i="6"/>
  <c r="AC109" i="5"/>
  <c r="AK145" i="5"/>
  <c r="AJ121" i="5"/>
  <c r="W103" i="5"/>
  <c r="AE139" i="5"/>
  <c r="AA121" i="5"/>
  <c r="Z103" i="5"/>
  <c r="AH139" i="5"/>
  <c r="W121" i="5"/>
  <c r="AB103" i="5"/>
  <c r="AF121" i="5"/>
  <c r="AE74" i="7"/>
  <c r="AE73" i="7"/>
  <c r="T74" i="7"/>
  <c r="AH73" i="7"/>
  <c r="AH74" i="7"/>
  <c r="AH72" i="7"/>
  <c r="AD74" i="7"/>
  <c r="AD73" i="7"/>
  <c r="U74" i="7"/>
  <c r="AI74" i="7"/>
  <c r="AI72" i="7"/>
  <c r="AI73" i="7"/>
  <c r="V74" i="7"/>
  <c r="AF74" i="7"/>
  <c r="AF73" i="7"/>
  <c r="AJ74" i="7"/>
  <c r="AJ72" i="7"/>
  <c r="AJ73" i="7"/>
  <c r="AG74" i="7"/>
  <c r="AG73" i="7"/>
  <c r="AA73" i="7"/>
  <c r="AA74" i="7"/>
  <c r="AC74" i="7"/>
  <c r="AC73" i="7"/>
  <c r="AB73" i="7"/>
  <c r="AB74" i="7"/>
  <c r="AA43" i="12"/>
  <c r="AF30" i="11"/>
  <c r="AF6" i="11"/>
  <c r="S48" i="1"/>
  <c r="AB30" i="11"/>
  <c r="X22" i="11"/>
  <c r="AA6" i="11"/>
  <c r="X30" i="11"/>
  <c r="T30" i="12"/>
  <c r="AC43" i="11"/>
  <c r="AC41" i="11"/>
  <c r="AC39" i="11"/>
  <c r="AI43" i="11"/>
  <c r="AI39" i="11"/>
  <c r="AI41" i="11"/>
  <c r="T43" i="11"/>
  <c r="T41" i="11"/>
  <c r="T39" i="11"/>
  <c r="AB43" i="11"/>
  <c r="AB39" i="11"/>
  <c r="AB41" i="11"/>
  <c r="Z43" i="11"/>
  <c r="Z41" i="11"/>
  <c r="Z39" i="11"/>
  <c r="AH43" i="11"/>
  <c r="AH39" i="11"/>
  <c r="AH41" i="11"/>
  <c r="AA43" i="11"/>
  <c r="AA39" i="11"/>
  <c r="AA41" i="11"/>
  <c r="AF44" i="11"/>
  <c r="AF41" i="11"/>
  <c r="AF43" i="11"/>
  <c r="AF39" i="11"/>
  <c r="AE43" i="11"/>
  <c r="AE39" i="11"/>
  <c r="AE41" i="11"/>
  <c r="V44" i="11"/>
  <c r="V41" i="11"/>
  <c r="V39" i="11"/>
  <c r="V43" i="11"/>
  <c r="X39" i="11"/>
  <c r="X41" i="11"/>
  <c r="X43" i="11"/>
  <c r="AG44" i="11"/>
  <c r="AG43" i="11"/>
  <c r="AG41" i="11"/>
  <c r="AG39" i="11"/>
  <c r="Y44" i="11"/>
  <c r="Y39" i="11"/>
  <c r="Y41" i="11"/>
  <c r="Y43" i="11"/>
  <c r="U43" i="11"/>
  <c r="U39" i="11"/>
  <c r="U41" i="11"/>
  <c r="AD43" i="11"/>
  <c r="AD41" i="11"/>
  <c r="AD39" i="11"/>
  <c r="W41" i="11"/>
  <c r="W39" i="11"/>
  <c r="W43" i="11"/>
  <c r="Q48" i="1"/>
  <c r="V48" i="1"/>
  <c r="AI30" i="12"/>
  <c r="AH43" i="12"/>
  <c r="Y8" i="10"/>
  <c r="G48" i="1"/>
  <c r="J48" i="1"/>
  <c r="W30" i="12"/>
  <c r="E43" i="12"/>
  <c r="AD6" i="12"/>
  <c r="T8" i="10"/>
  <c r="Y30" i="12"/>
  <c r="E48" i="1"/>
  <c r="AE44" i="11"/>
  <c r="AE22" i="11"/>
  <c r="Z30" i="12"/>
  <c r="X6" i="12"/>
  <c r="AD22" i="11"/>
  <c r="AE30" i="11"/>
  <c r="U30" i="12"/>
  <c r="AH30" i="12"/>
  <c r="M48" i="1"/>
  <c r="D48" i="1"/>
  <c r="AD44" i="11"/>
  <c r="AI30" i="11"/>
  <c r="X6" i="11"/>
  <c r="AD6" i="11"/>
  <c r="AC6" i="11"/>
  <c r="R48" i="1"/>
  <c r="K48" i="1"/>
  <c r="AI44" i="11"/>
  <c r="W44" i="11"/>
  <c r="U6" i="11"/>
  <c r="Z30" i="11"/>
  <c r="O48" i="1"/>
  <c r="Y30" i="11"/>
  <c r="W6" i="11"/>
  <c r="AA22" i="11"/>
  <c r="AC30" i="11"/>
  <c r="AF30" i="12"/>
  <c r="W6" i="12"/>
  <c r="U48" i="1"/>
  <c r="N48" i="1"/>
  <c r="AF22" i="11"/>
  <c r="V6" i="11"/>
  <c r="Z22" i="11"/>
  <c r="F48" i="1"/>
  <c r="AE6" i="11"/>
  <c r="W30" i="11"/>
  <c r="X44" i="11"/>
  <c r="Z6" i="11"/>
  <c r="Z6" i="12"/>
  <c r="AG30" i="12"/>
  <c r="J45" i="11"/>
  <c r="J46" i="11"/>
  <c r="J44" i="11"/>
  <c r="P44" i="11"/>
  <c r="P45" i="11"/>
  <c r="P46" i="11"/>
  <c r="X30" i="12"/>
  <c r="AF22" i="12"/>
  <c r="T46" i="11"/>
  <c r="T45" i="11"/>
  <c r="T44" i="11"/>
  <c r="AG22" i="12"/>
  <c r="F46" i="11"/>
  <c r="F44" i="11"/>
  <c r="F45" i="11"/>
  <c r="I45" i="11"/>
  <c r="I46" i="11"/>
  <c r="I44" i="11"/>
  <c r="S44" i="11"/>
  <c r="S45" i="11"/>
  <c r="S46" i="11"/>
  <c r="L44" i="11"/>
  <c r="L45" i="11"/>
  <c r="L46" i="11"/>
  <c r="M45" i="11"/>
  <c r="M44" i="11"/>
  <c r="M46" i="11"/>
  <c r="E46" i="11"/>
  <c r="E44" i="11"/>
  <c r="E45" i="11"/>
  <c r="N44" i="11"/>
  <c r="N45" i="11"/>
  <c r="N46" i="11"/>
  <c r="AE43" i="12"/>
  <c r="H45" i="11"/>
  <c r="H46" i="11"/>
  <c r="H44" i="11"/>
  <c r="O44" i="11"/>
  <c r="O45" i="11"/>
  <c r="O46" i="11"/>
  <c r="V30" i="12"/>
  <c r="AA30" i="12"/>
  <c r="K45" i="11"/>
  <c r="K44" i="11"/>
  <c r="K46" i="11"/>
  <c r="Q44" i="11"/>
  <c r="Q46" i="11"/>
  <c r="Q45" i="11"/>
  <c r="U46" i="11"/>
  <c r="U45" i="11"/>
  <c r="U44" i="11"/>
  <c r="R44" i="11"/>
  <c r="R46" i="11"/>
  <c r="R45" i="11"/>
  <c r="G46" i="11"/>
  <c r="G45" i="11"/>
  <c r="G44" i="11"/>
  <c r="D46" i="11"/>
  <c r="D44" i="11"/>
  <c r="D45" i="11"/>
  <c r="AI42" i="12"/>
  <c r="U42" i="12"/>
  <c r="AH42" i="12"/>
  <c r="T42" i="12"/>
  <c r="AC42" i="12"/>
  <c r="AG42" i="12"/>
  <c r="AF42" i="12"/>
  <c r="AA42" i="12"/>
  <c r="Z42" i="12"/>
  <c r="V42" i="12"/>
  <c r="AD42" i="12"/>
  <c r="Y42" i="12"/>
  <c r="X42" i="12"/>
  <c r="W42" i="12"/>
  <c r="AE42" i="12"/>
  <c r="AB42" i="12"/>
  <c r="W41" i="12"/>
  <c r="T41" i="12"/>
  <c r="AG41" i="12"/>
  <c r="AD41" i="12"/>
  <c r="V41" i="12"/>
  <c r="AH41" i="12"/>
  <c r="AI41" i="12"/>
  <c r="U41" i="12"/>
  <c r="AC41" i="12"/>
  <c r="X41" i="12"/>
  <c r="AF41" i="12"/>
  <c r="AB41" i="12"/>
  <c r="Z41" i="12"/>
  <c r="Y41" i="12"/>
  <c r="AE41" i="12"/>
  <c r="AA41" i="12"/>
  <c r="Y38" i="12"/>
  <c r="X38" i="12"/>
  <c r="U38" i="12"/>
  <c r="W38" i="12"/>
  <c r="T38" i="12"/>
  <c r="AF38" i="12"/>
  <c r="AE38" i="12"/>
  <c r="AB38" i="12"/>
  <c r="AA38" i="12"/>
  <c r="V38" i="12"/>
  <c r="AI38" i="12"/>
  <c r="AG38" i="12"/>
  <c r="AD38" i="12"/>
  <c r="AC38" i="12"/>
  <c r="Z38" i="12"/>
  <c r="AH38" i="12"/>
  <c r="AD43" i="12"/>
  <c r="D43" i="12"/>
  <c r="AB6" i="12"/>
  <c r="AD30" i="12"/>
  <c r="AC30" i="12"/>
  <c r="AB43" i="12"/>
  <c r="AE30" i="12"/>
  <c r="Z22" i="12"/>
  <c r="AG6" i="12"/>
  <c r="AE6" i="12"/>
  <c r="AB30" i="12"/>
  <c r="AF6" i="12"/>
  <c r="AD22" i="12"/>
  <c r="AK78" i="1"/>
  <c r="AK77" i="1"/>
  <c r="AK68" i="1"/>
  <c r="Z78" i="1"/>
  <c r="L78" i="1"/>
  <c r="W78" i="1"/>
  <c r="I78" i="1"/>
  <c r="T78" i="1"/>
  <c r="Y78" i="1"/>
  <c r="K78" i="1"/>
  <c r="X78" i="1"/>
  <c r="J78" i="1"/>
  <c r="E78" i="1"/>
  <c r="R78" i="1"/>
  <c r="D78" i="1"/>
  <c r="AA78" i="1"/>
  <c r="H78" i="1"/>
  <c r="F78" i="1"/>
  <c r="Q78" i="1"/>
  <c r="O78" i="1"/>
  <c r="N78" i="1"/>
  <c r="V78" i="1"/>
  <c r="U78" i="1"/>
  <c r="P78" i="1"/>
  <c r="AB78" i="1"/>
  <c r="M78" i="1"/>
  <c r="G78" i="1"/>
  <c r="S78" i="1"/>
  <c r="AC68" i="1"/>
  <c r="AC77" i="1"/>
  <c r="AC78" i="1"/>
  <c r="AF77" i="1"/>
  <c r="AF78" i="1"/>
  <c r="AF68" i="1"/>
  <c r="U77" i="1"/>
  <c r="G77" i="1"/>
  <c r="S77" i="1"/>
  <c r="R77" i="1"/>
  <c r="D77" i="1"/>
  <c r="T77" i="1"/>
  <c r="F77" i="1"/>
  <c r="E77" i="1"/>
  <c r="Q77" i="1"/>
  <c r="O77" i="1"/>
  <c r="AA77" i="1"/>
  <c r="M77" i="1"/>
  <c r="X77" i="1"/>
  <c r="P77" i="1"/>
  <c r="AB77" i="1"/>
  <c r="Z77" i="1"/>
  <c r="L77" i="1"/>
  <c r="W77" i="1"/>
  <c r="V77" i="1"/>
  <c r="Y77" i="1"/>
  <c r="K77" i="1"/>
  <c r="J77" i="1"/>
  <c r="I77" i="1"/>
  <c r="H77" i="1"/>
  <c r="N77" i="1"/>
  <c r="AJ78" i="1"/>
  <c r="AJ68" i="1"/>
  <c r="AJ77" i="1"/>
  <c r="AD68" i="1"/>
  <c r="AD77" i="1"/>
  <c r="AD78" i="1"/>
  <c r="AG77" i="1"/>
  <c r="AG78" i="1"/>
  <c r="AG68" i="1"/>
  <c r="AL78" i="1"/>
  <c r="AL77" i="1"/>
  <c r="AL68" i="1"/>
  <c r="AE68" i="1"/>
  <c r="AE78" i="1"/>
  <c r="AE77" i="1"/>
  <c r="AH77" i="1"/>
  <c r="AH78" i="1"/>
  <c r="AH68" i="1"/>
  <c r="AN78" i="1"/>
  <c r="AN77" i="1"/>
  <c r="AN68" i="1"/>
  <c r="AI77" i="1"/>
  <c r="AI68" i="1"/>
  <c r="AI78" i="1"/>
  <c r="AM78" i="1"/>
  <c r="AM68" i="1"/>
  <c r="AM77" i="1"/>
  <c r="AF12" i="12"/>
  <c r="Y23" i="12"/>
  <c r="Y24" i="12"/>
  <c r="Y22" i="12"/>
  <c r="AE7" i="12"/>
  <c r="Z12" i="12"/>
  <c r="Y43" i="12"/>
  <c r="AI43" i="12"/>
  <c r="AE12" i="12"/>
  <c r="AG43" i="12"/>
  <c r="F43" i="12"/>
  <c r="W12" i="12"/>
  <c r="V6" i="12"/>
  <c r="V7" i="12"/>
  <c r="V12" i="12"/>
  <c r="Y7" i="12"/>
  <c r="Y12" i="12"/>
  <c r="Y6" i="12"/>
  <c r="AD24" i="12"/>
  <c r="X7" i="12"/>
  <c r="AH22" i="12"/>
  <c r="AH23" i="12"/>
  <c r="AH24" i="12"/>
  <c r="AC7" i="12"/>
  <c r="AC6" i="12"/>
  <c r="AC12" i="12"/>
  <c r="AF23" i="12"/>
  <c r="AC22" i="12"/>
  <c r="AC24" i="12"/>
  <c r="AC23" i="12"/>
  <c r="AI23" i="12"/>
  <c r="AI22" i="12"/>
  <c r="AI24" i="12"/>
  <c r="AB12" i="12"/>
  <c r="AF24" i="12"/>
  <c r="AG7" i="12"/>
  <c r="AD23" i="12"/>
  <c r="S7" i="12"/>
  <c r="S12" i="12"/>
  <c r="S6" i="12"/>
  <c r="Z43" i="12"/>
  <c r="AC43" i="12"/>
  <c r="Z23" i="12"/>
  <c r="AF7" i="12"/>
  <c r="AD7" i="12"/>
  <c r="AA12" i="12"/>
  <c r="AA6" i="12"/>
  <c r="AA7" i="12"/>
  <c r="AA24" i="12"/>
  <c r="AA23" i="12"/>
  <c r="AA22" i="12"/>
  <c r="Z24" i="12"/>
  <c r="AD12" i="12"/>
  <c r="AH12" i="12"/>
  <c r="AH6" i="12"/>
  <c r="AH7" i="12"/>
  <c r="G43" i="12"/>
  <c r="T12" i="12"/>
  <c r="T7" i="12"/>
  <c r="T6" i="12"/>
  <c r="U7" i="12"/>
  <c r="U6" i="12"/>
  <c r="U12" i="12"/>
  <c r="W7" i="12"/>
  <c r="X24" i="12"/>
  <c r="X22" i="12"/>
  <c r="X23" i="12"/>
  <c r="AB22" i="12"/>
  <c r="AB24" i="12"/>
  <c r="AB23" i="12"/>
  <c r="AI12" i="12"/>
  <c r="AI7" i="12"/>
  <c r="AI6" i="12"/>
  <c r="V33" i="12"/>
  <c r="AF33" i="12"/>
  <c r="Z33" i="12"/>
  <c r="Y33" i="12"/>
  <c r="X33" i="12"/>
  <c r="AC33" i="12"/>
  <c r="AG33" i="12"/>
  <c r="AE33" i="12"/>
  <c r="AD33" i="12"/>
  <c r="AB33" i="12"/>
  <c r="AA33" i="12"/>
  <c r="AB7" i="12"/>
  <c r="Z7" i="12"/>
  <c r="AI33" i="12"/>
  <c r="AH33" i="12"/>
  <c r="W33" i="12"/>
  <c r="U33" i="12"/>
  <c r="T33" i="12"/>
  <c r="AF43" i="12"/>
  <c r="AH34" i="12"/>
  <c r="T34" i="12"/>
  <c r="AD34" i="12"/>
  <c r="Z34" i="12"/>
  <c r="Y34" i="12"/>
  <c r="X34" i="12"/>
  <c r="AG34" i="12"/>
  <c r="W34" i="12"/>
  <c r="V34" i="12"/>
  <c r="AC34" i="12"/>
  <c r="AB34" i="12"/>
  <c r="AA34" i="12"/>
  <c r="AI34" i="12"/>
  <c r="AF34" i="12"/>
  <c r="U34" i="12"/>
  <c r="AE34" i="12"/>
  <c r="AG12" i="12"/>
  <c r="AG23" i="12"/>
  <c r="AE22" i="12"/>
  <c r="AE23" i="12"/>
  <c r="AE24" i="12"/>
  <c r="AG24" i="12"/>
  <c r="X12" i="12"/>
  <c r="AE23" i="11"/>
  <c r="AI45" i="11"/>
  <c r="Z7" i="11"/>
  <c r="AC7" i="11"/>
  <c r="W7" i="11"/>
  <c r="AF23" i="11"/>
  <c r="U7" i="11"/>
  <c r="AF33" i="11"/>
  <c r="AG12" i="11"/>
  <c r="AG7" i="11"/>
  <c r="AG6" i="11"/>
  <c r="Z46" i="11"/>
  <c r="Z44" i="11"/>
  <c r="Z45" i="11"/>
  <c r="Y33" i="11"/>
  <c r="AC24" i="11"/>
  <c r="AF46" i="11"/>
  <c r="AE45" i="11"/>
  <c r="AG45" i="11"/>
  <c r="AB46" i="11"/>
  <c r="AB44" i="11"/>
  <c r="AB45" i="11"/>
  <c r="AF24" i="11"/>
  <c r="Y35" i="11"/>
  <c r="AE35" i="11"/>
  <c r="AE46" i="11"/>
  <c r="W12" i="11"/>
  <c r="AF45" i="11"/>
  <c r="AD7" i="11"/>
  <c r="W35" i="11"/>
  <c r="AA12" i="11"/>
  <c r="Z12" i="11"/>
  <c r="U12" i="11"/>
  <c r="X24" i="11"/>
  <c r="AC12" i="11"/>
  <c r="AB35" i="11"/>
  <c r="Z35" i="11"/>
  <c r="AE33" i="11"/>
  <c r="AA33" i="11"/>
  <c r="AA30" i="11"/>
  <c r="AA35" i="11"/>
  <c r="AB23" i="11"/>
  <c r="AB22" i="11"/>
  <c r="AB24" i="11"/>
  <c r="AF35" i="11"/>
  <c r="W46" i="11"/>
  <c r="AA23" i="11"/>
  <c r="AD46" i="11"/>
  <c r="AC33" i="11"/>
  <c r="X46" i="11"/>
  <c r="Y23" i="11"/>
  <c r="Y24" i="11"/>
  <c r="Y22" i="11"/>
  <c r="U35" i="11"/>
  <c r="U33" i="11"/>
  <c r="U30" i="11"/>
  <c r="AG24" i="11"/>
  <c r="AG22" i="11"/>
  <c r="AG23" i="11"/>
  <c r="X23" i="11"/>
  <c r="AC35" i="11"/>
  <c r="Y45" i="11"/>
  <c r="W33" i="11"/>
  <c r="V45" i="11"/>
  <c r="AI35" i="11"/>
  <c r="T35" i="11"/>
  <c r="T30" i="11"/>
  <c r="T33" i="11"/>
  <c r="AD24" i="11"/>
  <c r="AA24" i="11"/>
  <c r="AD45" i="11"/>
  <c r="AI33" i="11"/>
  <c r="AB7" i="11"/>
  <c r="AB6" i="11"/>
  <c r="AB12" i="11"/>
  <c r="AH35" i="11"/>
  <c r="AH33" i="11"/>
  <c r="AH30" i="11"/>
  <c r="AF7" i="11"/>
  <c r="AG46" i="11"/>
  <c r="AC23" i="11"/>
  <c r="AE24" i="11"/>
  <c r="AF12" i="11"/>
  <c r="W45" i="11"/>
  <c r="Y6" i="11"/>
  <c r="Y12" i="11"/>
  <c r="Y7" i="11"/>
  <c r="V30" i="11"/>
  <c r="V35" i="11"/>
  <c r="V33" i="11"/>
  <c r="AH45" i="11"/>
  <c r="AH46" i="11"/>
  <c r="AH44" i="11"/>
  <c r="AH12" i="11"/>
  <c r="AH7" i="11"/>
  <c r="AH6" i="11"/>
  <c r="Z23" i="11"/>
  <c r="AI24" i="11"/>
  <c r="AI22" i="11"/>
  <c r="AI23" i="11"/>
  <c r="AA45" i="11"/>
  <c r="AA46" i="11"/>
  <c r="AA44" i="11"/>
  <c r="AB33" i="11"/>
  <c r="AD12" i="11"/>
  <c r="Y46" i="11"/>
  <c r="AD33" i="11"/>
  <c r="AD30" i="11"/>
  <c r="AD35" i="11"/>
  <c r="V12" i="11"/>
  <c r="X35" i="11"/>
  <c r="AE7" i="11"/>
  <c r="Z24" i="11"/>
  <c r="T7" i="11"/>
  <c r="T12" i="11"/>
  <c r="T6" i="11"/>
  <c r="AH23" i="11"/>
  <c r="AH24" i="11"/>
  <c r="AH22" i="11"/>
  <c r="X33" i="11"/>
  <c r="V46" i="11"/>
  <c r="AE12" i="11"/>
  <c r="AI6" i="11"/>
  <c r="AI7" i="11"/>
  <c r="AI12" i="11"/>
  <c r="AC45" i="11"/>
  <c r="AC46" i="11"/>
  <c r="AC44" i="11"/>
  <c r="AG35" i="11"/>
  <c r="AG30" i="11"/>
  <c r="AG33" i="11"/>
  <c r="X7" i="11"/>
  <c r="V7" i="11"/>
  <c r="AI46" i="11"/>
  <c r="X45" i="11"/>
  <c r="S12" i="11"/>
  <c r="S6" i="11"/>
  <c r="S7" i="11"/>
  <c r="AA7" i="11"/>
  <c r="X12" i="11"/>
  <c r="AD23" i="11"/>
  <c r="Z33" i="11"/>
  <c r="L36" i="1"/>
  <c r="M49" i="1"/>
  <c r="K49" i="1"/>
  <c r="V49" i="1"/>
  <c r="R49" i="1"/>
  <c r="Q49" i="1"/>
  <c r="P49" i="1"/>
  <c r="L49" i="1"/>
  <c r="U49" i="1"/>
  <c r="G49" i="1"/>
  <c r="F49" i="1"/>
  <c r="S49" i="1"/>
  <c r="J49" i="1"/>
  <c r="W49" i="1"/>
  <c r="I49" i="1"/>
  <c r="H49" i="1"/>
  <c r="T49" i="1"/>
  <c r="E49" i="1"/>
  <c r="D49" i="1"/>
  <c r="N49" i="1"/>
  <c r="O49" i="1"/>
  <c r="AG49" i="1"/>
  <c r="AG48" i="1"/>
  <c r="AG50" i="1"/>
  <c r="AA49" i="1"/>
  <c r="AA48" i="1"/>
  <c r="AA50" i="1"/>
  <c r="R50" i="1"/>
  <c r="D50" i="1"/>
  <c r="P50" i="1"/>
  <c r="L50" i="1"/>
  <c r="I50" i="1"/>
  <c r="H50" i="1"/>
  <c r="U50" i="1"/>
  <c r="G50" i="1"/>
  <c r="Q50" i="1"/>
  <c r="M50" i="1"/>
  <c r="K50" i="1"/>
  <c r="E50" i="1"/>
  <c r="O50" i="1"/>
  <c r="N50" i="1"/>
  <c r="J50" i="1"/>
  <c r="W50" i="1"/>
  <c r="V50" i="1"/>
  <c r="S50" i="1"/>
  <c r="T50" i="1"/>
  <c r="F50" i="1"/>
  <c r="Z48" i="1"/>
  <c r="Z49" i="1"/>
  <c r="Z50" i="1"/>
  <c r="AC48" i="1"/>
  <c r="AC50" i="1"/>
  <c r="AC49" i="1"/>
  <c r="AM50" i="1"/>
  <c r="AM48" i="1"/>
  <c r="AM49" i="1"/>
  <c r="X50" i="1"/>
  <c r="X49" i="1"/>
  <c r="X48" i="1"/>
  <c r="AB48" i="1"/>
  <c r="AB49" i="1"/>
  <c r="AB50" i="1"/>
  <c r="AD49" i="1"/>
  <c r="AD50" i="1"/>
  <c r="AD48" i="1"/>
  <c r="Y48" i="1"/>
  <c r="Y49" i="1"/>
  <c r="Y50" i="1"/>
  <c r="AI50" i="1"/>
  <c r="AI48" i="1"/>
  <c r="AI49" i="1"/>
  <c r="AN50" i="1"/>
  <c r="AN49" i="1"/>
  <c r="AN48" i="1"/>
  <c r="AL49" i="1"/>
  <c r="AL50" i="1"/>
  <c r="AL48" i="1"/>
  <c r="AK50" i="1"/>
  <c r="AK48" i="1"/>
  <c r="AK49" i="1"/>
  <c r="AJ48" i="1"/>
  <c r="AJ50" i="1"/>
  <c r="AJ49" i="1"/>
  <c r="AE48" i="1"/>
  <c r="AE49" i="1"/>
  <c r="AE50" i="1"/>
  <c r="AH49" i="1"/>
  <c r="AH48" i="1"/>
  <c r="AH50" i="1"/>
  <c r="AF50" i="1"/>
  <c r="AF48" i="1"/>
  <c r="AF49" i="1"/>
  <c r="X9" i="10"/>
  <c r="Y14" i="10"/>
  <c r="X14" i="10"/>
  <c r="T9" i="10"/>
  <c r="U14" i="10"/>
  <c r="T14" i="10"/>
  <c r="V8" i="10"/>
  <c r="V14" i="10"/>
  <c r="V9" i="10"/>
  <c r="H33" i="10"/>
  <c r="H34" i="10"/>
  <c r="D32" i="10"/>
  <c r="Y9" i="10"/>
  <c r="U9" i="10"/>
  <c r="W8" i="10"/>
  <c r="W14" i="10"/>
  <c r="W9" i="10"/>
  <c r="AE62" i="7"/>
  <c r="AF61" i="7"/>
  <c r="AF62" i="7"/>
  <c r="AC61" i="7"/>
  <c r="AC62" i="7"/>
  <c r="AE61" i="7"/>
  <c r="AI62" i="7"/>
  <c r="AI60" i="7"/>
  <c r="AI61" i="7"/>
  <c r="T62" i="7"/>
  <c r="Z62" i="7"/>
  <c r="Z61" i="7"/>
  <c r="AH62" i="7"/>
  <c r="AH60" i="7"/>
  <c r="AH61" i="7"/>
  <c r="U62" i="7"/>
  <c r="AA62" i="7"/>
  <c r="AA61" i="7"/>
  <c r="AJ61" i="7"/>
  <c r="AJ62" i="7"/>
  <c r="AJ60" i="7"/>
  <c r="AD62" i="7"/>
  <c r="AB61" i="7"/>
  <c r="AB62" i="7"/>
  <c r="AD61" i="7"/>
  <c r="AG61" i="7"/>
  <c r="AG62" i="7"/>
  <c r="V62" i="7"/>
  <c r="Y141" i="5"/>
  <c r="AD147" i="5"/>
  <c r="AJ70" i="5"/>
  <c r="AB116" i="5"/>
  <c r="U104" i="5"/>
  <c r="U117" i="5"/>
  <c r="Y122" i="5"/>
  <c r="AF99" i="5"/>
  <c r="W99" i="5"/>
  <c r="AB141" i="5"/>
  <c r="U141" i="5"/>
  <c r="V70" i="5"/>
  <c r="U116" i="5"/>
  <c r="AD104" i="5"/>
  <c r="Z105" i="5"/>
  <c r="AA71" i="5"/>
  <c r="Z98" i="5"/>
  <c r="AD70" i="5"/>
  <c r="Z129" i="5"/>
  <c r="AK71" i="5"/>
  <c r="AD116" i="5"/>
  <c r="U147" i="5"/>
  <c r="Z111" i="5"/>
  <c r="AC105" i="5"/>
  <c r="AC122" i="5"/>
  <c r="V104" i="5"/>
  <c r="AC117" i="5"/>
  <c r="AH134" i="5"/>
  <c r="AH146" i="5"/>
  <c r="X99" i="5"/>
  <c r="AA128" i="5"/>
  <c r="V128" i="5"/>
  <c r="V140" i="5"/>
  <c r="AK128" i="5"/>
  <c r="AD146" i="5"/>
  <c r="AE147" i="5"/>
  <c r="AG147" i="5"/>
  <c r="AJ128" i="5"/>
  <c r="AF135" i="5"/>
  <c r="AD105" i="5"/>
  <c r="V135" i="5"/>
  <c r="AF111" i="5"/>
  <c r="V98" i="5"/>
  <c r="X135" i="5"/>
  <c r="AC135" i="5"/>
  <c r="V129" i="5"/>
  <c r="AE98" i="5"/>
  <c r="AH104" i="5"/>
  <c r="Y99" i="5"/>
  <c r="AG111" i="5"/>
  <c r="AK134" i="5"/>
  <c r="AJ99" i="5"/>
  <c r="AB111" i="5"/>
  <c r="AD117" i="5"/>
  <c r="AF129" i="5"/>
  <c r="AH135" i="5"/>
  <c r="X141" i="5"/>
  <c r="AH141" i="5"/>
  <c r="AD111" i="5"/>
  <c r="V117" i="5"/>
  <c r="AF117" i="5"/>
  <c r="Z135" i="5"/>
  <c r="AJ135" i="5"/>
  <c r="Z141" i="5"/>
  <c r="AC99" i="5"/>
  <c r="Y71" i="5"/>
  <c r="AA99" i="5"/>
  <c r="AE117" i="5"/>
  <c r="W129" i="5"/>
  <c r="AI135" i="5"/>
  <c r="AB99" i="5"/>
  <c r="X129" i="5"/>
  <c r="V99" i="5"/>
  <c r="V105" i="5"/>
  <c r="AI105" i="5"/>
  <c r="Z117" i="5"/>
  <c r="W123" i="5"/>
  <c r="AE135" i="5"/>
  <c r="AE141" i="5"/>
  <c r="AH147" i="5"/>
  <c r="AA123" i="5"/>
  <c r="AG141" i="5"/>
  <c r="AJ147" i="5"/>
  <c r="W71" i="5"/>
  <c r="AE99" i="5"/>
  <c r="AK111" i="5"/>
  <c r="AH117" i="5"/>
  <c r="AB123" i="5"/>
  <c r="AK147" i="5"/>
  <c r="AE105" i="5"/>
  <c r="W111" i="5"/>
  <c r="AD129" i="5"/>
  <c r="Z147" i="5"/>
  <c r="AF105" i="5"/>
  <c r="AI123" i="5"/>
  <c r="AE129" i="5"/>
  <c r="W141" i="5"/>
  <c r="AA111" i="5"/>
  <c r="AA141" i="5"/>
  <c r="AB147" i="5"/>
  <c r="AG71" i="5"/>
  <c r="U99" i="5"/>
  <c r="AE111" i="5"/>
  <c r="Y117" i="5"/>
  <c r="AK123" i="5"/>
  <c r="AD141" i="5"/>
  <c r="AF147" i="5"/>
  <c r="W105" i="5"/>
  <c r="AI111" i="5"/>
  <c r="Y129" i="5"/>
  <c r="AF141" i="5"/>
  <c r="AI147" i="5"/>
  <c r="V71" i="5"/>
  <c r="AD99" i="5"/>
  <c r="X105" i="5"/>
  <c r="U111" i="5"/>
  <c r="AJ111" i="5"/>
  <c r="AG117" i="5"/>
  <c r="Y105" i="5"/>
  <c r="V111" i="5"/>
  <c r="AI117" i="5"/>
  <c r="AA135" i="5"/>
  <c r="V141" i="5"/>
  <c r="AE71" i="5"/>
  <c r="AI99" i="5"/>
  <c r="W117" i="5"/>
  <c r="AB135" i="5"/>
  <c r="AA147" i="5"/>
  <c r="AG105" i="5"/>
  <c r="X117" i="5"/>
  <c r="AJ123" i="5"/>
  <c r="AI129" i="5"/>
  <c r="AH105" i="5"/>
  <c r="AD135" i="5"/>
  <c r="U98" i="5"/>
  <c r="AC71" i="5"/>
  <c r="AK117" i="5"/>
  <c r="U128" i="5"/>
  <c r="AC70" i="5"/>
  <c r="AK116" i="5"/>
  <c r="AG135" i="5"/>
  <c r="AJ105" i="5"/>
  <c r="AG123" i="5"/>
  <c r="AC129" i="5"/>
  <c r="AI141" i="5"/>
  <c r="AH123" i="5"/>
  <c r="AG99" i="5"/>
  <c r="V147" i="5"/>
  <c r="Z110" i="5"/>
  <c r="AB129" i="5"/>
  <c r="W135" i="5"/>
  <c r="Z122" i="5"/>
  <c r="AK141" i="5"/>
  <c r="Z128" i="5"/>
  <c r="X147" i="5"/>
  <c r="X110" i="5"/>
  <c r="AK122" i="5"/>
  <c r="AH110" i="5"/>
  <c r="AE70" i="5"/>
  <c r="W104" i="5"/>
  <c r="AI110" i="5"/>
  <c r="AA122" i="5"/>
  <c r="AE140" i="5"/>
  <c r="AB146" i="5"/>
  <c r="AA110" i="5"/>
  <c r="AE128" i="5"/>
  <c r="W140" i="5"/>
  <c r="AG140" i="5"/>
  <c r="U146" i="5"/>
  <c r="X104" i="5"/>
  <c r="AJ110" i="5"/>
  <c r="AB122" i="5"/>
  <c r="AF140" i="5"/>
  <c r="W70" i="5"/>
  <c r="AG70" i="5"/>
  <c r="AI98" i="5"/>
  <c r="AI104" i="5"/>
  <c r="AK110" i="5"/>
  <c r="AH70" i="5"/>
  <c r="AJ98" i="5"/>
  <c r="AI70" i="5"/>
  <c r="AE110" i="5"/>
  <c r="W128" i="5"/>
  <c r="AI134" i="5"/>
  <c r="AB140" i="5"/>
  <c r="AI146" i="5"/>
  <c r="V134" i="5"/>
  <c r="AI140" i="5"/>
  <c r="AB98" i="5"/>
  <c r="AJ140" i="5"/>
  <c r="AE122" i="5"/>
  <c r="AF128" i="5"/>
  <c r="X134" i="5"/>
  <c r="AA146" i="5"/>
  <c r="AE104" i="5"/>
  <c r="AF122" i="5"/>
  <c r="AG128" i="5"/>
  <c r="Y140" i="5"/>
  <c r="AA70" i="5"/>
  <c r="AK98" i="5"/>
  <c r="AC110" i="5"/>
  <c r="AH128" i="5"/>
  <c r="AF146" i="5"/>
  <c r="AD110" i="5"/>
  <c r="X116" i="5"/>
  <c r="U122" i="5"/>
  <c r="AJ122" i="5"/>
  <c r="AI128" i="5"/>
  <c r="AA140" i="5"/>
  <c r="AE116" i="5"/>
  <c r="W122" i="5"/>
  <c r="X128" i="5"/>
  <c r="AJ134" i="5"/>
  <c r="AH140" i="5"/>
  <c r="AJ146" i="5"/>
  <c r="AA98" i="5"/>
  <c r="AF116" i="5"/>
  <c r="X122" i="5"/>
  <c r="Y128" i="5"/>
  <c r="AA104" i="5"/>
  <c r="U110" i="5"/>
  <c r="AG116" i="5"/>
  <c r="W134" i="5"/>
  <c r="Y70" i="5"/>
  <c r="AC98" i="5"/>
  <c r="AB104" i="5"/>
  <c r="V110" i="5"/>
  <c r="AH116" i="5"/>
  <c r="X140" i="5"/>
  <c r="Z70" i="5"/>
  <c r="AD98" i="5"/>
  <c r="AB110" i="5"/>
  <c r="AA134" i="5"/>
  <c r="AE146" i="5"/>
  <c r="AF104" i="5"/>
  <c r="W116" i="5"/>
  <c r="AI122" i="5"/>
  <c r="AB134" i="5"/>
  <c r="Z140" i="5"/>
  <c r="AB70" i="5"/>
  <c r="AJ104" i="5"/>
  <c r="AF134" i="5"/>
  <c r="AG146" i="5"/>
  <c r="AC104" i="5"/>
  <c r="V122" i="5"/>
  <c r="W110" i="5"/>
  <c r="AK105" i="5"/>
  <c r="AD134" i="5"/>
  <c r="AG104" i="5"/>
  <c r="AC141" i="5"/>
  <c r="AJ117" i="5"/>
  <c r="AC123" i="5"/>
  <c r="AK70" i="5"/>
  <c r="AE123" i="5"/>
  <c r="AD128" i="5"/>
  <c r="Z104" i="5"/>
  <c r="AK146" i="5"/>
  <c r="W147" i="5"/>
  <c r="AB105" i="5"/>
  <c r="AI116" i="5"/>
  <c r="AC140" i="5"/>
  <c r="AD140" i="5"/>
  <c r="AJ71" i="5"/>
  <c r="AA116" i="5"/>
  <c r="AD122" i="5"/>
  <c r="U70" i="5"/>
  <c r="X69" i="5"/>
  <c r="X71" i="5"/>
  <c r="X70" i="5"/>
  <c r="AG134" i="5"/>
  <c r="Z134" i="5"/>
  <c r="Z71" i="5"/>
  <c r="AG122" i="5"/>
  <c r="AH111" i="5"/>
  <c r="AC128" i="5"/>
  <c r="AH122" i="5"/>
  <c r="AI71" i="5"/>
  <c r="AC147" i="5"/>
  <c r="AG98" i="5"/>
  <c r="Y111" i="5"/>
  <c r="AC134" i="5"/>
  <c r="AA117" i="5"/>
  <c r="AE134" i="5"/>
  <c r="AH71" i="5"/>
  <c r="AK140" i="5"/>
  <c r="AA129" i="5"/>
  <c r="X111" i="5"/>
  <c r="AB71" i="5"/>
  <c r="AH129" i="5"/>
  <c r="AJ129" i="5"/>
  <c r="AD71" i="5"/>
  <c r="V146" i="5"/>
  <c r="AJ116" i="5"/>
  <c r="Y104" i="5"/>
  <c r="AC116" i="5"/>
  <c r="Y135" i="5"/>
  <c r="X123" i="5"/>
  <c r="U129" i="5"/>
  <c r="AC111" i="5"/>
  <c r="AJ141" i="5"/>
  <c r="U140" i="5"/>
  <c r="AB117" i="5"/>
  <c r="Y98" i="5"/>
  <c r="AG110" i="5"/>
  <c r="U71" i="5"/>
  <c r="Y134" i="5"/>
  <c r="AF123" i="5"/>
  <c r="AC146" i="5"/>
  <c r="AK104" i="5"/>
  <c r="AK99" i="5"/>
  <c r="AH98" i="5"/>
  <c r="AB128" i="5"/>
  <c r="Z116" i="5"/>
  <c r="W146" i="5"/>
  <c r="AA105" i="5"/>
  <c r="U123" i="5"/>
  <c r="AF110" i="5"/>
  <c r="AF70" i="5"/>
  <c r="AF69" i="5"/>
  <c r="AF71" i="5"/>
  <c r="Y123" i="5"/>
  <c r="V116" i="5"/>
  <c r="U105" i="5"/>
  <c r="Y116" i="5"/>
  <c r="AK129" i="5"/>
  <c r="Z146" i="5"/>
  <c r="AF98" i="5"/>
  <c r="Y146" i="5"/>
  <c r="AH99" i="5"/>
  <c r="Y110" i="5"/>
  <c r="AD123" i="5"/>
  <c r="Y147" i="5"/>
  <c r="Z123" i="5"/>
  <c r="AK135" i="5"/>
  <c r="W98" i="5"/>
  <c r="X98" i="5"/>
  <c r="U135" i="5"/>
  <c r="AG129" i="5"/>
  <c r="Z99" i="5"/>
  <c r="V123" i="5"/>
  <c r="U134" i="5"/>
  <c r="X146" i="5"/>
  <c r="AH56" i="6"/>
  <c r="AB9" i="6"/>
  <c r="AB56" i="6"/>
  <c r="AB55" i="6"/>
  <c r="AB50" i="6"/>
  <c r="AG55" i="6"/>
  <c r="Y56" i="6"/>
  <c r="AF9" i="6"/>
  <c r="AM56" i="6"/>
  <c r="AH44" i="6"/>
  <c r="AH40" i="6"/>
  <c r="AH39" i="6"/>
  <c r="AH14" i="6"/>
  <c r="AH9" i="6"/>
  <c r="AH8" i="6"/>
  <c r="AE8" i="6"/>
  <c r="AE14" i="6"/>
  <c r="AE9" i="6"/>
  <c r="AA55" i="6"/>
  <c r="AA50" i="6"/>
  <c r="AA56" i="6"/>
  <c r="AM9" i="6"/>
  <c r="AM8" i="6"/>
  <c r="AM14" i="6"/>
  <c r="AI56" i="6"/>
  <c r="AI55" i="6"/>
  <c r="AI50" i="6"/>
  <c r="AL55" i="6"/>
  <c r="AG14" i="6"/>
  <c r="AH55" i="6"/>
  <c r="AE50" i="6"/>
  <c r="AE56" i="6"/>
  <c r="AE55" i="6"/>
  <c r="AK40" i="6"/>
  <c r="R99" i="5"/>
  <c r="AK44" i="6"/>
  <c r="AA14" i="6"/>
  <c r="AM55" i="6"/>
  <c r="Z56" i="6"/>
  <c r="Z55" i="6"/>
  <c r="Z50" i="6"/>
  <c r="AK56" i="6"/>
  <c r="AK55" i="6"/>
  <c r="AK50" i="6"/>
  <c r="AG56" i="6"/>
  <c r="AJ40" i="6"/>
  <c r="AB14" i="6"/>
  <c r="AJ44" i="6"/>
  <c r="AJ14" i="6"/>
  <c r="AJ9" i="6"/>
  <c r="AJ8" i="6"/>
  <c r="AD50" i="6"/>
  <c r="AD56" i="6"/>
  <c r="AD55" i="6"/>
  <c r="AE44" i="6"/>
  <c r="AE40" i="6"/>
  <c r="AE39" i="6"/>
  <c r="AJ56" i="6"/>
  <c r="AJ55" i="6"/>
  <c r="AJ50" i="6"/>
  <c r="AD8" i="6"/>
  <c r="AD14" i="6"/>
  <c r="AD9" i="6"/>
  <c r="AL56" i="6"/>
  <c r="Y55" i="6"/>
  <c r="AK9" i="6"/>
  <c r="Y14" i="6"/>
  <c r="Y9" i="6"/>
  <c r="Y8" i="6"/>
  <c r="AN56" i="6"/>
  <c r="AN55" i="6"/>
  <c r="AN50" i="6"/>
  <c r="AC9" i="6"/>
  <c r="AC8" i="6"/>
  <c r="AC14" i="6"/>
  <c r="AN8" i="6"/>
  <c r="AN14" i="6"/>
  <c r="AN9" i="6"/>
  <c r="AF55" i="6"/>
  <c r="AF14" i="6"/>
  <c r="AC56" i="6"/>
  <c r="AC55" i="6"/>
  <c r="AC50" i="6"/>
  <c r="AL8" i="6"/>
  <c r="AL9" i="6"/>
  <c r="AL14" i="6"/>
  <c r="AD40" i="6"/>
  <c r="AD39" i="6"/>
  <c r="AD44" i="6"/>
  <c r="X55" i="6"/>
  <c r="AG9" i="6"/>
  <c r="AK14" i="6"/>
  <c r="Z14" i="6"/>
  <c r="AF56" i="6"/>
  <c r="AG44" i="6"/>
  <c r="AG40" i="6"/>
  <c r="AG39" i="6"/>
  <c r="AI14" i="6"/>
  <c r="AI9" i="6"/>
  <c r="AI8" i="6"/>
  <c r="AC44" i="6"/>
  <c r="AM40" i="6"/>
  <c r="AM39" i="6"/>
  <c r="AM44" i="6"/>
  <c r="AF44" i="6"/>
  <c r="AF40" i="6"/>
  <c r="AF39" i="6"/>
  <c r="AA9" i="6"/>
  <c r="AI40" i="6"/>
  <c r="X9" i="6"/>
  <c r="X14" i="6"/>
  <c r="X8" i="6"/>
  <c r="AL40" i="6"/>
  <c r="AL44" i="6"/>
  <c r="AL39" i="6"/>
  <c r="AN44" i="6"/>
  <c r="AN40" i="6"/>
  <c r="AN39" i="6"/>
  <c r="X56" i="6"/>
  <c r="Z9" i="6"/>
  <c r="AI44" i="6"/>
  <c r="O127" i="5"/>
  <c r="O129" i="5"/>
  <c r="O128" i="5"/>
  <c r="G140" i="5"/>
  <c r="G141" i="5"/>
  <c r="G139" i="5"/>
  <c r="E123" i="5"/>
  <c r="E122" i="5"/>
  <c r="E121" i="5"/>
  <c r="L105" i="5"/>
  <c r="L103" i="5"/>
  <c r="L104" i="5"/>
  <c r="I128" i="5"/>
  <c r="I129" i="5"/>
  <c r="I127" i="5"/>
  <c r="T147" i="5"/>
  <c r="T146" i="5"/>
  <c r="T145" i="5"/>
  <c r="O111" i="5"/>
  <c r="O109" i="5"/>
  <c r="O110" i="5"/>
  <c r="O122" i="5"/>
  <c r="O121" i="5"/>
  <c r="O123" i="5"/>
  <c r="F123" i="5"/>
  <c r="F121" i="5"/>
  <c r="F122" i="5"/>
  <c r="I121" i="5"/>
  <c r="I123" i="5"/>
  <c r="I122" i="5"/>
  <c r="K128" i="5"/>
  <c r="K129" i="5"/>
  <c r="K127" i="5"/>
  <c r="Q146" i="5"/>
  <c r="Q147" i="5"/>
  <c r="Q145" i="5"/>
  <c r="G135" i="5"/>
  <c r="G133" i="5"/>
  <c r="G134" i="5"/>
  <c r="H111" i="5"/>
  <c r="H109" i="5"/>
  <c r="H110" i="5"/>
  <c r="F71" i="5"/>
  <c r="F69" i="5"/>
  <c r="F70" i="5"/>
  <c r="N98" i="5"/>
  <c r="N97" i="5"/>
  <c r="N99" i="5"/>
  <c r="K109" i="5"/>
  <c r="K110" i="5"/>
  <c r="K111" i="5"/>
  <c r="L146" i="5"/>
  <c r="L147" i="5"/>
  <c r="L145" i="5"/>
  <c r="P122" i="5"/>
  <c r="P121" i="5"/>
  <c r="P123" i="5"/>
  <c r="D146" i="5"/>
  <c r="D147" i="5"/>
  <c r="D145" i="5"/>
  <c r="E147" i="5"/>
  <c r="E145" i="5"/>
  <c r="E146" i="5"/>
  <c r="I104" i="5"/>
  <c r="I105" i="5"/>
  <c r="I103" i="5"/>
  <c r="R70" i="5"/>
  <c r="R71" i="5"/>
  <c r="R69" i="5"/>
  <c r="O117" i="5"/>
  <c r="O115" i="5"/>
  <c r="O116" i="5"/>
  <c r="S122" i="5"/>
  <c r="S123" i="5"/>
  <c r="S121" i="5"/>
  <c r="T121" i="5"/>
  <c r="T122" i="5"/>
  <c r="T123" i="5"/>
  <c r="D141" i="5"/>
  <c r="D139" i="5"/>
  <c r="D140" i="5"/>
  <c r="K103" i="5"/>
  <c r="K105" i="5"/>
  <c r="K104" i="5"/>
  <c r="H140" i="5"/>
  <c r="H139" i="5"/>
  <c r="H141" i="5"/>
  <c r="N116" i="5"/>
  <c r="N115" i="5"/>
  <c r="N117" i="5"/>
  <c r="O140" i="5"/>
  <c r="O141" i="5"/>
  <c r="O139" i="5"/>
  <c r="J99" i="5"/>
  <c r="J97" i="5"/>
  <c r="J98" i="5"/>
  <c r="D115" i="5"/>
  <c r="D117" i="5"/>
  <c r="D116" i="5"/>
  <c r="Q105" i="5"/>
  <c r="Q103" i="5"/>
  <c r="Q104" i="5"/>
  <c r="I115" i="5"/>
  <c r="I117" i="5"/>
  <c r="I116" i="5"/>
  <c r="J128" i="5"/>
  <c r="J129" i="5"/>
  <c r="J127" i="5"/>
  <c r="N111" i="5"/>
  <c r="N110" i="5"/>
  <c r="N109" i="5"/>
  <c r="J123" i="5"/>
  <c r="J121" i="5"/>
  <c r="J122" i="5"/>
  <c r="H127" i="5"/>
  <c r="H128" i="5"/>
  <c r="H129" i="5"/>
  <c r="R141" i="5"/>
  <c r="R140" i="5"/>
  <c r="R139" i="5"/>
  <c r="R122" i="5"/>
  <c r="R123" i="5"/>
  <c r="R121" i="5"/>
  <c r="L129" i="5"/>
  <c r="L128" i="5"/>
  <c r="L127" i="5"/>
  <c r="O135" i="5"/>
  <c r="O134" i="5"/>
  <c r="O133" i="5"/>
  <c r="R98" i="5"/>
  <c r="E134" i="5"/>
  <c r="E135" i="5"/>
  <c r="E133" i="5"/>
  <c r="P104" i="5"/>
  <c r="P103" i="5"/>
  <c r="P105" i="5"/>
  <c r="N127" i="5"/>
  <c r="N129" i="5"/>
  <c r="N128" i="5"/>
  <c r="N141" i="5"/>
  <c r="N139" i="5"/>
  <c r="N140" i="5"/>
  <c r="F111" i="5"/>
  <c r="F109" i="5"/>
  <c r="F110" i="5"/>
  <c r="S71" i="5"/>
  <c r="S70" i="5"/>
  <c r="S69" i="5"/>
  <c r="I145" i="5"/>
  <c r="I146" i="5"/>
  <c r="I147" i="5"/>
  <c r="E115" i="5"/>
  <c r="E117" i="5"/>
  <c r="E116" i="5"/>
  <c r="S134" i="5"/>
  <c r="S135" i="5"/>
  <c r="S133" i="5"/>
  <c r="N123" i="5"/>
  <c r="N121" i="5"/>
  <c r="N122" i="5"/>
  <c r="L110" i="5"/>
  <c r="L109" i="5"/>
  <c r="L111" i="5"/>
  <c r="D70" i="5"/>
  <c r="D69" i="5"/>
  <c r="D71" i="5"/>
  <c r="P135" i="5"/>
  <c r="P134" i="5"/>
  <c r="P133" i="5"/>
  <c r="R105" i="5"/>
  <c r="R104" i="5"/>
  <c r="R103" i="5"/>
  <c r="Q128" i="5"/>
  <c r="Q129" i="5"/>
  <c r="Q127" i="5"/>
  <c r="T139" i="5"/>
  <c r="T140" i="5"/>
  <c r="T141" i="5"/>
  <c r="I69" i="5"/>
  <c r="I71" i="5"/>
  <c r="I70" i="5"/>
  <c r="L70" i="5"/>
  <c r="L71" i="5"/>
  <c r="L69" i="5"/>
  <c r="N135" i="5"/>
  <c r="N133" i="5"/>
  <c r="N134" i="5"/>
  <c r="E139" i="5"/>
  <c r="E141" i="5"/>
  <c r="E140" i="5"/>
  <c r="K123" i="5"/>
  <c r="K122" i="5"/>
  <c r="K121" i="5"/>
  <c r="G98" i="5"/>
  <c r="G99" i="5"/>
  <c r="G97" i="5"/>
  <c r="E110" i="5"/>
  <c r="E111" i="5"/>
  <c r="E109" i="5"/>
  <c r="F129" i="5"/>
  <c r="F128" i="5"/>
  <c r="F127" i="5"/>
  <c r="L141" i="5"/>
  <c r="L139" i="5"/>
  <c r="L140" i="5"/>
  <c r="J133" i="5"/>
  <c r="J134" i="5"/>
  <c r="J135" i="5"/>
  <c r="Q141" i="5"/>
  <c r="Q140" i="5"/>
  <c r="Q139" i="5"/>
  <c r="G121" i="5"/>
  <c r="G123" i="5"/>
  <c r="G122" i="5"/>
  <c r="S98" i="5"/>
  <c r="S99" i="5"/>
  <c r="S97" i="5"/>
  <c r="Q111" i="5"/>
  <c r="Q109" i="5"/>
  <c r="Q110" i="5"/>
  <c r="T98" i="5"/>
  <c r="T99" i="5"/>
  <c r="T97" i="5"/>
  <c r="G111" i="5"/>
  <c r="G109" i="5"/>
  <c r="G110" i="5"/>
  <c r="D135" i="5"/>
  <c r="D133" i="5"/>
  <c r="D134" i="5"/>
  <c r="L122" i="5"/>
  <c r="L121" i="5"/>
  <c r="L123" i="5"/>
  <c r="D129" i="5"/>
  <c r="D127" i="5"/>
  <c r="D128" i="5"/>
  <c r="S146" i="5"/>
  <c r="S147" i="5"/>
  <c r="S145" i="5"/>
  <c r="T103" i="5"/>
  <c r="T104" i="5"/>
  <c r="T105" i="5"/>
  <c r="H71" i="5"/>
  <c r="H70" i="5"/>
  <c r="O104" i="5"/>
  <c r="O103" i="5"/>
  <c r="O105" i="5"/>
  <c r="K97" i="5"/>
  <c r="K98" i="5"/>
  <c r="K99" i="5"/>
  <c r="E99" i="5"/>
  <c r="E97" i="5"/>
  <c r="E98" i="5"/>
  <c r="K133" i="5"/>
  <c r="K134" i="5"/>
  <c r="K135" i="5"/>
  <c r="F98" i="5"/>
  <c r="F99" i="5"/>
  <c r="F97" i="5"/>
  <c r="H122" i="5"/>
  <c r="H123" i="5"/>
  <c r="H121" i="5"/>
  <c r="G103" i="5"/>
  <c r="G105" i="5"/>
  <c r="G104" i="5"/>
  <c r="M123" i="5"/>
  <c r="M121" i="5"/>
  <c r="M122" i="5"/>
  <c r="P127" i="5"/>
  <c r="P128" i="5"/>
  <c r="P129" i="5"/>
  <c r="D110" i="5"/>
  <c r="D109" i="5"/>
  <c r="D111" i="5"/>
  <c r="T129" i="5"/>
  <c r="T128" i="5"/>
  <c r="T127" i="5"/>
  <c r="I109" i="5"/>
  <c r="I111" i="5"/>
  <c r="I110" i="5"/>
  <c r="M98" i="5"/>
  <c r="M99" i="5"/>
  <c r="M97" i="5"/>
  <c r="Q97" i="5"/>
  <c r="Q99" i="5"/>
  <c r="Q98" i="5"/>
  <c r="L117" i="5"/>
  <c r="L116" i="5"/>
  <c r="L115" i="5"/>
  <c r="G147" i="5"/>
  <c r="G146" i="5"/>
  <c r="G145" i="5"/>
  <c r="F134" i="5"/>
  <c r="F135" i="5"/>
  <c r="F133" i="5"/>
  <c r="M103" i="5"/>
  <c r="M105" i="5"/>
  <c r="M117" i="5"/>
  <c r="M116" i="5"/>
  <c r="M115" i="5"/>
  <c r="L134" i="5"/>
  <c r="L135" i="5"/>
  <c r="L133" i="5"/>
  <c r="H99" i="5"/>
  <c r="H97" i="5"/>
  <c r="H98" i="5"/>
  <c r="P117" i="5"/>
  <c r="P116" i="5"/>
  <c r="P115" i="5"/>
  <c r="E69" i="5"/>
  <c r="E70" i="5"/>
  <c r="E71" i="5"/>
  <c r="Q123" i="5"/>
  <c r="Q121" i="5"/>
  <c r="Q122" i="5"/>
  <c r="I140" i="5"/>
  <c r="I141" i="5"/>
  <c r="I139" i="5"/>
  <c r="R128" i="5"/>
  <c r="R127" i="5"/>
  <c r="R129" i="5"/>
  <c r="J140" i="5"/>
  <c r="J141" i="5"/>
  <c r="J139" i="5"/>
  <c r="F147" i="5"/>
  <c r="F146" i="5"/>
  <c r="F145" i="5"/>
  <c r="N71" i="5"/>
  <c r="N69" i="5"/>
  <c r="N70" i="5"/>
  <c r="Q70" i="5"/>
  <c r="Q71" i="5"/>
  <c r="Q69" i="5"/>
  <c r="D97" i="5"/>
  <c r="D99" i="5"/>
  <c r="D98" i="5"/>
  <c r="J104" i="5"/>
  <c r="J103" i="5"/>
  <c r="J105" i="5"/>
  <c r="J69" i="5"/>
  <c r="J71" i="5"/>
  <c r="J70" i="5"/>
  <c r="H145" i="5"/>
  <c r="H147" i="5"/>
  <c r="H146" i="5"/>
  <c r="F117" i="5"/>
  <c r="F116" i="5"/>
  <c r="F115" i="5"/>
  <c r="H116" i="5"/>
  <c r="H115" i="5"/>
  <c r="H117" i="5"/>
  <c r="K117" i="5"/>
  <c r="K116" i="5"/>
  <c r="K115" i="5"/>
  <c r="J109" i="5"/>
  <c r="J111" i="5"/>
  <c r="J110" i="5"/>
  <c r="M134" i="5"/>
  <c r="M135" i="5"/>
  <c r="M133" i="5"/>
  <c r="T71" i="5"/>
  <c r="T70" i="5"/>
  <c r="T69" i="5"/>
  <c r="N147" i="5"/>
  <c r="N145" i="5"/>
  <c r="N146" i="5"/>
  <c r="M110" i="5"/>
  <c r="M111" i="5"/>
  <c r="M109" i="5"/>
  <c r="J117" i="5"/>
  <c r="J115" i="5"/>
  <c r="J116" i="5"/>
  <c r="I135" i="5"/>
  <c r="I134" i="5"/>
  <c r="I133" i="5"/>
  <c r="J146" i="5"/>
  <c r="J145" i="5"/>
  <c r="J147" i="5"/>
  <c r="S129" i="5"/>
  <c r="S128" i="5"/>
  <c r="S127" i="5"/>
  <c r="N104" i="5"/>
  <c r="F139" i="5"/>
  <c r="F141" i="5"/>
  <c r="F140" i="5"/>
  <c r="T115" i="5"/>
  <c r="T116" i="5"/>
  <c r="T117" i="5"/>
  <c r="P140" i="5"/>
  <c r="P139" i="5"/>
  <c r="P141" i="5"/>
  <c r="O145" i="5"/>
  <c r="O147" i="5"/>
  <c r="O146" i="5"/>
  <c r="T111" i="5"/>
  <c r="T110" i="5"/>
  <c r="T109" i="5"/>
  <c r="Q133" i="5"/>
  <c r="Q134" i="5"/>
  <c r="Q135" i="5"/>
  <c r="R146" i="5"/>
  <c r="R147" i="5"/>
  <c r="R145" i="5"/>
  <c r="K141" i="5"/>
  <c r="K140" i="5"/>
  <c r="K139" i="5"/>
  <c r="N105" i="5"/>
  <c r="K146" i="5"/>
  <c r="K145" i="5"/>
  <c r="K147" i="5"/>
  <c r="G116" i="5"/>
  <c r="G117" i="5"/>
  <c r="G115" i="5"/>
  <c r="Q117" i="5"/>
  <c r="Q116" i="5"/>
  <c r="Q115" i="5"/>
  <c r="L97" i="5"/>
  <c r="L98" i="5"/>
  <c r="L99" i="5"/>
  <c r="I99" i="5"/>
  <c r="I98" i="5"/>
  <c r="I97" i="5"/>
  <c r="D123" i="5"/>
  <c r="D122" i="5"/>
  <c r="D121" i="5"/>
  <c r="M70" i="5"/>
  <c r="S117" i="5"/>
  <c r="S116" i="5"/>
  <c r="S115" i="5"/>
  <c r="H105" i="5"/>
  <c r="H103" i="5"/>
  <c r="H104" i="5"/>
  <c r="R115" i="5"/>
  <c r="R117" i="5"/>
  <c r="R116" i="5"/>
  <c r="G127" i="5"/>
  <c r="G128" i="5"/>
  <c r="G129" i="5"/>
  <c r="P99" i="5"/>
  <c r="P97" i="5"/>
  <c r="P98" i="5"/>
  <c r="R134" i="5"/>
  <c r="R135" i="5"/>
  <c r="R133" i="5"/>
  <c r="H135" i="5"/>
  <c r="H133" i="5"/>
  <c r="H134" i="5"/>
  <c r="M71" i="5"/>
  <c r="O69" i="5"/>
  <c r="O70" i="5"/>
  <c r="O71" i="5"/>
  <c r="M129" i="5"/>
  <c r="M127" i="5"/>
  <c r="M128" i="5"/>
  <c r="R110" i="5"/>
  <c r="R111" i="5"/>
  <c r="R109" i="5"/>
  <c r="P69" i="5"/>
  <c r="P71" i="5"/>
  <c r="P70" i="5"/>
  <c r="S105" i="5"/>
  <c r="S104" i="5"/>
  <c r="S103" i="5"/>
  <c r="G71" i="5"/>
  <c r="G69" i="5"/>
  <c r="G70" i="5"/>
  <c r="P109" i="5"/>
  <c r="P110" i="5"/>
  <c r="P111" i="5"/>
  <c r="T134" i="5"/>
  <c r="T133" i="5"/>
  <c r="T135" i="5"/>
  <c r="S110" i="5"/>
  <c r="S111" i="5"/>
  <c r="S109" i="5"/>
  <c r="E105" i="5"/>
  <c r="E103" i="5"/>
  <c r="E104" i="5"/>
  <c r="F103" i="5"/>
  <c r="F105" i="5"/>
  <c r="F104" i="5"/>
  <c r="M139" i="5"/>
  <c r="M141" i="5"/>
  <c r="M140" i="5"/>
  <c r="K70" i="5"/>
  <c r="K69" i="5"/>
  <c r="K71" i="5"/>
  <c r="O97" i="5"/>
  <c r="O98" i="5"/>
  <c r="O99" i="5"/>
  <c r="P145" i="5"/>
  <c r="P147" i="5"/>
  <c r="P146" i="5"/>
  <c r="D105" i="5"/>
  <c r="D104" i="5"/>
  <c r="D103" i="5"/>
  <c r="S139" i="5"/>
  <c r="S140" i="5"/>
  <c r="S141" i="5"/>
  <c r="E129" i="5"/>
  <c r="E128" i="5"/>
  <c r="E127" i="5"/>
  <c r="M147" i="5"/>
  <c r="M145" i="5"/>
  <c r="M146" i="5"/>
  <c r="G36" i="1"/>
  <c r="G35" i="1"/>
  <c r="G37" i="1"/>
  <c r="O36" i="1"/>
  <c r="O35" i="1"/>
  <c r="O37" i="1"/>
  <c r="W36" i="1"/>
  <c r="W35" i="1"/>
  <c r="W37" i="1"/>
  <c r="AA35" i="1"/>
  <c r="AA37" i="1"/>
  <c r="AA36" i="1"/>
  <c r="AI35" i="1"/>
  <c r="AI37" i="1"/>
  <c r="AI36" i="1"/>
  <c r="AA64" i="1"/>
  <c r="AA63" i="1"/>
  <c r="AI64" i="1"/>
  <c r="AI63" i="1"/>
  <c r="AI54" i="1"/>
  <c r="AM64" i="1"/>
  <c r="AM63" i="1"/>
  <c r="AM54" i="1"/>
  <c r="H37" i="1"/>
  <c r="H36" i="1"/>
  <c r="P37" i="1"/>
  <c r="P35" i="1"/>
  <c r="P36" i="1"/>
  <c r="T37" i="1"/>
  <c r="T36" i="1"/>
  <c r="T35" i="1"/>
  <c r="AB37" i="1"/>
  <c r="AB35" i="1"/>
  <c r="AB36" i="1"/>
  <c r="AJ37" i="1"/>
  <c r="AJ35" i="1"/>
  <c r="AJ36" i="1"/>
  <c r="D63" i="1"/>
  <c r="D64" i="1"/>
  <c r="AF63" i="1"/>
  <c r="AF54" i="1"/>
  <c r="AF64" i="1"/>
  <c r="AJ63" i="1"/>
  <c r="AJ54" i="1"/>
  <c r="AJ64" i="1"/>
  <c r="E37" i="1"/>
  <c r="E36" i="1"/>
  <c r="E35" i="1"/>
  <c r="I37" i="1"/>
  <c r="I36" i="1"/>
  <c r="I35" i="1"/>
  <c r="M37" i="1"/>
  <c r="M36" i="1"/>
  <c r="M35" i="1"/>
  <c r="Q37" i="1"/>
  <c r="Q36" i="1"/>
  <c r="Q35" i="1"/>
  <c r="U37" i="1"/>
  <c r="U36" i="1"/>
  <c r="U35" i="1"/>
  <c r="Y37" i="1"/>
  <c r="Y36" i="1"/>
  <c r="Y35" i="1"/>
  <c r="AC37" i="1"/>
  <c r="AC36" i="1"/>
  <c r="AC35" i="1"/>
  <c r="AG37" i="1"/>
  <c r="AG36" i="1"/>
  <c r="AG35" i="1"/>
  <c r="AK37" i="1"/>
  <c r="AK36" i="1"/>
  <c r="AK35" i="1"/>
  <c r="E64" i="1"/>
  <c r="E63" i="1"/>
  <c r="Y63" i="1"/>
  <c r="Y64" i="1"/>
  <c r="AC54" i="1"/>
  <c r="AC63" i="1"/>
  <c r="AC64" i="1"/>
  <c r="AG54" i="1"/>
  <c r="AG63" i="1"/>
  <c r="AG64" i="1"/>
  <c r="AK54" i="1"/>
  <c r="AK64" i="1"/>
  <c r="AK63" i="1"/>
  <c r="E14" i="1"/>
  <c r="K35" i="1"/>
  <c r="K37" i="1"/>
  <c r="K36" i="1"/>
  <c r="S35" i="1"/>
  <c r="S37" i="1"/>
  <c r="S36" i="1"/>
  <c r="AE35" i="1"/>
  <c r="AE36" i="1"/>
  <c r="AE37" i="1"/>
  <c r="AM35" i="1"/>
  <c r="AM36" i="1"/>
  <c r="AM37" i="1"/>
  <c r="AE64" i="1"/>
  <c r="AE63" i="1"/>
  <c r="AE54" i="1"/>
  <c r="D37" i="1"/>
  <c r="D36" i="1"/>
  <c r="D35" i="1"/>
  <c r="L37" i="1"/>
  <c r="L35" i="1"/>
  <c r="X37" i="1"/>
  <c r="X36" i="1"/>
  <c r="X35" i="1"/>
  <c r="AF37" i="1"/>
  <c r="AF36" i="1"/>
  <c r="AF35" i="1"/>
  <c r="AN37" i="1"/>
  <c r="AN36" i="1"/>
  <c r="AN35" i="1"/>
  <c r="AB63" i="1"/>
  <c r="AB64" i="1"/>
  <c r="AN63" i="1"/>
  <c r="AN54" i="1"/>
  <c r="AN64" i="1"/>
  <c r="D9" i="1"/>
  <c r="D8" i="1"/>
  <c r="D14" i="1"/>
  <c r="F36" i="1"/>
  <c r="F35" i="1"/>
  <c r="F37" i="1"/>
  <c r="J36" i="1"/>
  <c r="J37" i="1"/>
  <c r="J35" i="1"/>
  <c r="N36" i="1"/>
  <c r="N35" i="1"/>
  <c r="N37" i="1"/>
  <c r="R36" i="1"/>
  <c r="R37" i="1"/>
  <c r="R35" i="1"/>
  <c r="V36" i="1"/>
  <c r="V35" i="1"/>
  <c r="V37" i="1"/>
  <c r="Z36" i="1"/>
  <c r="Z37" i="1"/>
  <c r="Z35" i="1"/>
  <c r="AD36" i="1"/>
  <c r="AD35" i="1"/>
  <c r="AD37" i="1"/>
  <c r="AH36" i="1"/>
  <c r="AH35" i="1"/>
  <c r="AH37" i="1"/>
  <c r="AL36" i="1"/>
  <c r="AL35" i="1"/>
  <c r="AL37" i="1"/>
  <c r="Z64" i="1"/>
  <c r="Z63" i="1"/>
  <c r="AD64" i="1"/>
  <c r="AD54" i="1"/>
  <c r="AD63" i="1"/>
  <c r="AH64" i="1"/>
  <c r="AH54" i="1"/>
  <c r="AH63" i="1"/>
  <c r="AL64" i="1"/>
  <c r="AL54" i="1"/>
  <c r="AL63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9" i="1" s="1"/>
  <c r="I6" i="1"/>
  <c r="W81" i="7" l="1"/>
  <c r="H14" i="1"/>
  <c r="T8" i="1"/>
  <c r="T9" i="1"/>
  <c r="T14" i="1"/>
  <c r="AB9" i="1"/>
  <c r="AB8" i="1"/>
  <c r="AB14" i="1"/>
  <c r="AN9" i="1"/>
  <c r="AN8" i="1"/>
  <c r="AN14" i="1"/>
  <c r="I8" i="1"/>
  <c r="I9" i="1"/>
  <c r="I14" i="1"/>
  <c r="Q8" i="1"/>
  <c r="Q9" i="1"/>
  <c r="Q14" i="1"/>
  <c r="Y8" i="1"/>
  <c r="Y9" i="1"/>
  <c r="Y14" i="1"/>
  <c r="AK8" i="1"/>
  <c r="AK9" i="1"/>
  <c r="AK14" i="1"/>
  <c r="J14" i="1"/>
  <c r="J8" i="1"/>
  <c r="R14" i="1"/>
  <c r="R9" i="1"/>
  <c r="R8" i="1"/>
  <c r="Z14" i="1"/>
  <c r="Z8" i="1"/>
  <c r="Z9" i="1"/>
  <c r="AL14" i="1"/>
  <c r="AL8" i="1"/>
  <c r="AL9" i="1"/>
  <c r="L9" i="1"/>
  <c r="L8" i="1"/>
  <c r="L14" i="1"/>
  <c r="P9" i="1"/>
  <c r="P8" i="1"/>
  <c r="P14" i="1"/>
  <c r="X9" i="1"/>
  <c r="X8" i="1"/>
  <c r="X14" i="1"/>
  <c r="AF9" i="1"/>
  <c r="AF8" i="1"/>
  <c r="AF14" i="1"/>
  <c r="AJ9" i="1"/>
  <c r="AJ8" i="1"/>
  <c r="AJ14" i="1"/>
  <c r="M9" i="1"/>
  <c r="M8" i="1"/>
  <c r="M14" i="1"/>
  <c r="U8" i="1"/>
  <c r="U9" i="1"/>
  <c r="U14" i="1"/>
  <c r="AC8" i="1"/>
  <c r="AC9" i="1"/>
  <c r="AC14" i="1"/>
  <c r="AG8" i="1"/>
  <c r="AG9" i="1"/>
  <c r="AG14" i="1"/>
  <c r="F14" i="1"/>
  <c r="N14" i="1"/>
  <c r="N8" i="1"/>
  <c r="N9" i="1"/>
  <c r="V14" i="1"/>
  <c r="V8" i="1"/>
  <c r="V9" i="1"/>
  <c r="AD14" i="1"/>
  <c r="AD8" i="1"/>
  <c r="AD9" i="1"/>
  <c r="AH14" i="1"/>
  <c r="AH8" i="1"/>
  <c r="AH9" i="1"/>
  <c r="G14" i="1"/>
  <c r="K14" i="1"/>
  <c r="K9" i="1"/>
  <c r="K8" i="1"/>
  <c r="O14" i="1"/>
  <c r="O9" i="1"/>
  <c r="O8" i="1"/>
  <c r="S14" i="1"/>
  <c r="S9" i="1"/>
  <c r="S8" i="1"/>
  <c r="W14" i="1"/>
  <c r="W9" i="1"/>
  <c r="W8" i="1"/>
  <c r="AA14" i="1"/>
  <c r="AA9" i="1"/>
  <c r="AA8" i="1"/>
  <c r="AE14" i="1"/>
  <c r="AE9" i="1"/>
  <c r="AE8" i="1"/>
  <c r="AI14" i="1"/>
  <c r="AI9" i="1"/>
  <c r="AI8" i="1"/>
  <c r="AM14" i="1"/>
  <c r="AM9" i="1"/>
  <c r="AM8" i="1"/>
  <c r="B6" i="1"/>
  <c r="AC43" i="6"/>
  <c r="AC42" i="6"/>
  <c r="AC41" i="6"/>
  <c r="AC40" i="6"/>
  <c r="AC39" i="6"/>
  <c r="X32" i="6"/>
  <c r="X31" i="6"/>
  <c r="X30" i="6"/>
  <c r="X29" i="6"/>
  <c r="X2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28" authorId="0" shapeId="0" xr:uid="{A4D458C1-424C-4EB4-AC16-5CAB20204A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Anthony</t>
        </r>
      </text>
    </comment>
    <comment ref="D30" authorId="0" shapeId="0" xr:uid="{662256AC-8803-4657-BD51-9525B5106B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Lab</t>
        </r>
      </text>
    </comment>
    <comment ref="S30" authorId="0" shapeId="0" xr:uid="{7BEC60EA-AAD8-4A2C-9A29-C5A39B1098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Bryan</t>
        </r>
      </text>
    </comment>
    <comment ref="N39" authorId="0" shapeId="0" xr:uid="{B769F1F0-F5B0-45A2-8005-D1943BD8D3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 Maintenance B Profit</t>
        </r>
      </text>
    </comment>
    <comment ref="D41" authorId="0" shapeId="0" xr:uid="{D1625026-D576-43B3-B410-FF07B00C72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Tim</t>
        </r>
      </text>
    </comment>
    <comment ref="S41" authorId="0" shapeId="0" xr:uid="{4ABA0C33-9E23-4C6C-A277-9879A26894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 Profit</t>
        </r>
      </text>
    </comment>
    <comment ref="N51" authorId="0" shapeId="0" xr:uid="{DC341065-BB0E-4B65-A71E-8528D6D3FB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  <comment ref="S51" authorId="0" shapeId="0" xr:uid="{8C4D9756-1272-4BA9-8C42-32C49977ED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Jarvis</t>
        </r>
      </text>
    </comment>
    <comment ref="D52" authorId="0" shapeId="0" xr:uid="{BC96E659-FFA0-49AA-AA14-3FD04306D4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Lab</t>
        </r>
      </text>
    </comment>
    <comment ref="N54" authorId="0" shapeId="0" xr:uid="{B82CE858-2225-40B9-B4D6-4E15B7FAAB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Jarvis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0" authorId="0" shapeId="0" xr:uid="{6453FF12-DFB1-4D23-8B4F-F9E4675997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Patti Jay</t>
        </r>
      </text>
    </comment>
    <comment ref="I41" authorId="0" shapeId="0" xr:uid="{6F54EC74-6F15-4F21-A388-1C0B9919A29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Freddie turned in Cruce Cleaner audit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63" authorId="0" shapeId="0" xr:uid="{F4139282-ACA9-4862-8C9B-66257BF9A0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 have recorded twice</t>
        </r>
      </text>
    </comment>
    <comment ref="W71" authorId="0" shapeId="0" xr:uid="{758D06EB-D23C-451A-B0A3-2C007B8D80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H75" authorId="0" shapeId="0" xr:uid="{09290608-989D-412D-BFDE-3256D035CB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with GSweatman</t>
        </r>
      </text>
    </comment>
    <comment ref="L75" authorId="0" shapeId="0" xr:uid="{13004F2B-4BC8-45A3-8E58-C8B27985F4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With GSweatman</t>
        </r>
      </text>
    </comment>
    <comment ref="Y83" authorId="0" shapeId="0" xr:uid="{51837AC4-64FA-48AA-94B2-89DAE0BD7F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1" authorId="0" shapeId="0" xr:uid="{D6F40F4C-7BDA-4BA5-B911-7C2F6489DAC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  <comment ref="J171" authorId="0" shapeId="0" xr:uid="{75A60C94-09EC-446F-B602-298D5463B7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42" authorId="0" shapeId="0" xr:uid="{D37BE603-1D86-4306-8ABC-1192D680F2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 Shipping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23" authorId="0" shapeId="0" xr:uid="{5CF7305F-5C2C-4E3E-A6B3-1FDA30F50C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Rod Shop</t>
        </r>
      </text>
    </comment>
    <comment ref="P25" authorId="0" shapeId="0" xr:uid="{CA355919-4C73-4B7D-9F70-011899B880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</t>
        </r>
      </text>
    </comment>
    <comment ref="P32" authorId="0" shapeId="0" xr:uid="{AFF6D144-7362-4495-AABC-8769ACC361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Potline</t>
        </r>
      </text>
    </comment>
    <comment ref="H35" authorId="0" shapeId="0" xr:uid="{6F1A1AA9-EE51-4201-96AB-65F03CC19D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Cast House Cold Side</t>
        </r>
      </text>
    </comment>
    <comment ref="L35" authorId="0" shapeId="0" xr:uid="{B7F9348E-05F0-46B5-A042-FE5BD69194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Potline</t>
        </r>
      </text>
    </comment>
    <comment ref="P35" authorId="0" shapeId="0" xr:uid="{F9A5F1A6-AC2E-497C-B891-26CB43C481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 Shipping</t>
        </r>
      </text>
    </comment>
    <comment ref="L43" authorId="0" shapeId="0" xr:uid="{A107B185-6317-4AE8-835E-650BBF5393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Environmental WFA</t>
        </r>
      </text>
    </comment>
    <comment ref="H50" authorId="0" shapeId="0" xr:uid="{AC00A81B-0912-45CB-BBBB-CB917BF249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  <comment ref="H52" authorId="0" shapeId="0" xr:uid="{B27C75E8-C5EE-458D-B051-CE9298C461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turned in for Potline</t>
        </r>
      </text>
    </comment>
    <comment ref="D53" authorId="0" shapeId="0" xr:uid="{0E9CA6FF-177E-431E-9A2E-EE67DC7219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4" authorId="0" shapeId="0" xr:uid="{3DFAD66E-7569-4F09-B826-74552C47D4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Cast House Cold Side</t>
        </r>
      </text>
    </comment>
    <comment ref="L34" authorId="0" shapeId="0" xr:uid="{2959F1A1-8BCC-4D3C-B479-2E1371326B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</t>
        </r>
      </text>
    </comment>
    <comment ref="D39" authorId="0" shapeId="0" xr:uid="{01BD821D-303A-4510-8742-0DB9C306060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Cast House</t>
        </r>
      </text>
    </comment>
    <comment ref="H39" authorId="0" shapeId="0" xr:uid="{F425D3CC-7313-4C06-91B2-A97DEFDEAF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Potline</t>
        </r>
      </text>
    </comment>
    <comment ref="L39" authorId="0" shapeId="0" xr:uid="{BD7B63FA-0650-4C6A-800C-F44A704C64D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Potline</t>
        </r>
      </text>
    </comment>
    <comment ref="H47" authorId="0" shapeId="0" xr:uid="{29D35D0E-982E-4A01-AF68-1BC2A4219C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</t>
        </r>
      </text>
    </comment>
    <comment ref="D50" authorId="0" shapeId="0" xr:uid="{82443922-AB1B-42AB-B9EC-7D9D8D7575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Art completed in potline</t>
        </r>
      </text>
    </comment>
    <comment ref="H50" authorId="0" shapeId="0" xr:uid="{734E862A-223E-4702-8A29-3D29E6C553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turned in for Carbon from Jarvis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<sst xmlns="http://schemas.openxmlformats.org/spreadsheetml/2006/main" count="3205" uniqueCount="301">
  <si>
    <t>HK Scores</t>
  </si>
  <si>
    <t>Remove the N/A questions when calculating score</t>
  </si>
  <si>
    <t>Shift 1</t>
  </si>
  <si>
    <t>Shift 2</t>
  </si>
  <si>
    <t>Shift 3</t>
  </si>
  <si>
    <t>Week 1</t>
  </si>
  <si>
    <t>Week 2</t>
  </si>
  <si>
    <t>Week 3</t>
  </si>
  <si>
    <t>Week 4</t>
  </si>
  <si>
    <t>Mo</t>
  </si>
  <si>
    <t>Tu</t>
  </si>
  <si>
    <t>We</t>
  </si>
  <si>
    <t>TH</t>
  </si>
  <si>
    <t>Fr</t>
  </si>
  <si>
    <t>Sa</t>
  </si>
  <si>
    <t>Su</t>
  </si>
  <si>
    <t>Th</t>
  </si>
  <si>
    <t>Area</t>
  </si>
  <si>
    <t>2/9/26 - 2/13/26</t>
  </si>
  <si>
    <t>2/16/26 - 2/20/26</t>
  </si>
  <si>
    <t>2/23/26 - 2/27/26</t>
  </si>
  <si>
    <t>Freddie Gamble</t>
  </si>
  <si>
    <t>Maintenance</t>
  </si>
  <si>
    <t>Anthony Wall</t>
  </si>
  <si>
    <t>Carbon</t>
  </si>
  <si>
    <t>Tim Kass</t>
  </si>
  <si>
    <t>Cast House</t>
  </si>
  <si>
    <t>Bryan Profit</t>
  </si>
  <si>
    <t>Potline</t>
  </si>
  <si>
    <t>Reggie Coleman</t>
  </si>
  <si>
    <t>Environmental</t>
  </si>
  <si>
    <t>Miguel Frias</t>
  </si>
  <si>
    <t>Jacoby Alston</t>
  </si>
  <si>
    <t>3/2/26 - 3/6/26</t>
  </si>
  <si>
    <t>3/9/26 - 3/13/26</t>
  </si>
  <si>
    <t>3/16/26 - 3/20/26</t>
  </si>
  <si>
    <t>3/23/26 - 3/27/26</t>
  </si>
  <si>
    <t>94 per Maddi - don't include missed audits</t>
  </si>
  <si>
    <t>Lab</t>
  </si>
  <si>
    <t>Week 5</t>
  </si>
  <si>
    <t>3/30/26 - 4/3/26</t>
  </si>
  <si>
    <t>4/6/26 - 4/10/26</t>
  </si>
  <si>
    <t>4/13/26 - 4/17/26</t>
  </si>
  <si>
    <t>4/20/26 - 4/24/26</t>
  </si>
  <si>
    <t>4/27/26 - 5/1/26</t>
  </si>
  <si>
    <t>5/4/26 - 5/8/26</t>
  </si>
  <si>
    <t>5/11/26 - 5/15/26</t>
  </si>
  <si>
    <t>5/18/26 - 5/22/26</t>
  </si>
  <si>
    <t>5/25/26 - 5/29/26</t>
  </si>
  <si>
    <t>100</t>
  </si>
  <si>
    <t>91</t>
  </si>
  <si>
    <t>69</t>
  </si>
  <si>
    <t>6/1/26 - 6/5/26</t>
  </si>
  <si>
    <t>6/8/26 - 6/12/26</t>
  </si>
  <si>
    <t>6/15/26 - 6/19/26</t>
  </si>
  <si>
    <t>6/22/26 - 6/26/26</t>
  </si>
  <si>
    <t>89</t>
  </si>
  <si>
    <t>77</t>
  </si>
  <si>
    <t>no audit/pv lost</t>
  </si>
  <si>
    <t>88</t>
  </si>
  <si>
    <t>85</t>
  </si>
  <si>
    <t>65</t>
  </si>
  <si>
    <t>90</t>
  </si>
  <si>
    <t>Bryan ooo</t>
  </si>
  <si>
    <t>Bryan at training the last week</t>
  </si>
  <si>
    <t>84</t>
  </si>
  <si>
    <t>93</t>
  </si>
  <si>
    <t>6/29/26 - 7/3/26</t>
  </si>
  <si>
    <t>7/6/26 - 7/10/26</t>
  </si>
  <si>
    <t>7/13/26 - 7/17/26</t>
  </si>
  <si>
    <t>7/20/26 - 7/24/26</t>
  </si>
  <si>
    <t>7/27/26 - 7/31/26</t>
  </si>
  <si>
    <t>N/A</t>
  </si>
  <si>
    <t>86</t>
  </si>
  <si>
    <t>Crane Shop</t>
  </si>
  <si>
    <t>Fabrication Shop</t>
  </si>
  <si>
    <t>Rebuild Shop</t>
  </si>
  <si>
    <t>Mobile Shop</t>
  </si>
  <si>
    <t>Coke Tank</t>
  </si>
  <si>
    <t>Pitch Tanks</t>
  </si>
  <si>
    <t>Green Mill</t>
  </si>
  <si>
    <t>Bake Oven South</t>
  </si>
  <si>
    <t>Cold Side/Shipping</t>
  </si>
  <si>
    <t>Hot Side</t>
  </si>
  <si>
    <t>138 Repair/Rebuild</t>
  </si>
  <si>
    <t>Room 1 West</t>
  </si>
  <si>
    <t>136 / Cruce cleaner</t>
  </si>
  <si>
    <t>Room 2 West</t>
  </si>
  <si>
    <t>161 East Baghouse</t>
  </si>
  <si>
    <t>162 East Baghouse</t>
  </si>
  <si>
    <t>Waste Fluid Area</t>
  </si>
  <si>
    <t>138 CAA Building</t>
  </si>
  <si>
    <t>161 West Baghouse</t>
  </si>
  <si>
    <t>162 West Baghouse</t>
  </si>
  <si>
    <t>Utilities Shop</t>
  </si>
  <si>
    <t>044 Warehouse</t>
  </si>
  <si>
    <t>Compressor Room</t>
  </si>
  <si>
    <t>Bake Oven North</t>
  </si>
  <si>
    <t>Rod Shop</t>
  </si>
  <si>
    <t>Laboratory</t>
  </si>
  <si>
    <t>Room 2 East</t>
  </si>
  <si>
    <t>Room 4 West</t>
  </si>
  <si>
    <t>Room 4 East</t>
  </si>
  <si>
    <t>Services/ Ore Unloading</t>
  </si>
  <si>
    <t>MT Mobile Shop</t>
  </si>
  <si>
    <t>PL Room 1 West</t>
  </si>
  <si>
    <t>MT Fabrication Shop</t>
  </si>
  <si>
    <t>PL Room 1 East</t>
  </si>
  <si>
    <t>MT Compressor Room</t>
  </si>
  <si>
    <t>CB Green Mill</t>
  </si>
  <si>
    <t>CH Maintenance Area</t>
  </si>
  <si>
    <t>CB Coke Tank</t>
  </si>
  <si>
    <t>CB Bake Oven South</t>
  </si>
  <si>
    <t>CB Pitch Tanks</t>
  </si>
  <si>
    <t>CH Cold Side/Shipping</t>
  </si>
  <si>
    <t>MT Rebuild Shop</t>
  </si>
  <si>
    <t>CH Casting Pits/Billet Inspection Line</t>
  </si>
  <si>
    <t>PL Room 3 West</t>
  </si>
  <si>
    <t>PL Room 2 East</t>
  </si>
  <si>
    <t>PL 136 / Cruce cleaner</t>
  </si>
  <si>
    <t>CB Rod Shop</t>
  </si>
  <si>
    <t>CH Dross Room/Furnaces/Sow Line</t>
  </si>
  <si>
    <t>CH Homogenizing Furnaces/Pre-Heat/Cooling</t>
  </si>
  <si>
    <t>ENV 161 East Baghouse</t>
  </si>
  <si>
    <t>ENV 161 West Baghouse</t>
  </si>
  <si>
    <t>ENV Waste Fluid Area</t>
  </si>
  <si>
    <t>ENV 138 CAA Building</t>
  </si>
  <si>
    <t>ENV 261G Bake Oven Scrubber</t>
  </si>
  <si>
    <t>Back up</t>
  </si>
  <si>
    <t>CH Moldshop</t>
  </si>
  <si>
    <t>CH Laboratory</t>
  </si>
  <si>
    <t>MT Cast House</t>
  </si>
  <si>
    <t>PL 138 Repair/Rebuild</t>
  </si>
  <si>
    <t>MT Potline</t>
  </si>
  <si>
    <t>PL Room 2 West</t>
  </si>
  <si>
    <t>Art DiFilippo</t>
  </si>
  <si>
    <t>Jarvis Adelabu</t>
  </si>
  <si>
    <t>MT Utilities Shop</t>
  </si>
  <si>
    <t>CH Shipping/Scales</t>
  </si>
  <si>
    <t>Brett Meyer</t>
  </si>
  <si>
    <t>MT Crane Shop</t>
  </si>
  <si>
    <t>MT 044 Warehouse</t>
  </si>
  <si>
    <t>ENV 162 East Baghouse</t>
  </si>
  <si>
    <t>PL Room 4 West</t>
  </si>
  <si>
    <t>ENV 162 West Baghouse</t>
  </si>
  <si>
    <t>PL Services/ Ore Unloading</t>
  </si>
  <si>
    <t xml:space="preserve">Bryan OOO for last audit </t>
  </si>
  <si>
    <t>CB Bake Oven North</t>
  </si>
  <si>
    <t>CH Homogen Furnaces/Pre-Heat/Cooling</t>
  </si>
  <si>
    <t>x</t>
  </si>
  <si>
    <t>SAFE OBSERVATION - GS AND EHS</t>
  </si>
  <si>
    <t>138/ Shell repair</t>
  </si>
  <si>
    <t>138/Pot Rebuild</t>
  </si>
  <si>
    <t>Services/PCO</t>
  </si>
  <si>
    <t>9.09 per question</t>
  </si>
  <si>
    <t>EHS and General Supervisors  - 2 safe observation audits per week</t>
  </si>
  <si>
    <t>2/2/26 - 2/6/26</t>
  </si>
  <si>
    <t>Stoney Anderson</t>
  </si>
  <si>
    <t>Jason Benton</t>
  </si>
  <si>
    <t>Thomas Douglas</t>
  </si>
  <si>
    <t>Chris Murphy</t>
  </si>
  <si>
    <t>Donna Ravan</t>
  </si>
  <si>
    <t>Lewis Smith</t>
  </si>
  <si>
    <t>Tyrone Washington</t>
  </si>
  <si>
    <t>Scott Gordon</t>
  </si>
  <si>
    <t>Michael Rudd</t>
  </si>
  <si>
    <t>Michael Smith</t>
  </si>
  <si>
    <t>Markese Tucker</t>
  </si>
  <si>
    <t>John Wilson</t>
  </si>
  <si>
    <t>Jason McNeil</t>
  </si>
  <si>
    <t>Kenneth Adams</t>
  </si>
  <si>
    <t>Gerald Sweatman</t>
  </si>
  <si>
    <t>4/20/26 - 4/25/26</t>
  </si>
  <si>
    <t>4/28/26 - 5/1/26</t>
  </si>
  <si>
    <t>Monmartre Café</t>
  </si>
  <si>
    <t>City Center Catering</t>
  </si>
  <si>
    <t>nn</t>
  </si>
  <si>
    <t xml:space="preserve">Midnight Snacks </t>
  </si>
  <si>
    <t>SAFE OBSERVATION - LEADERSHIP</t>
  </si>
  <si>
    <t>C - Completed -0- risk   X - Completed Risk(s) present and corrected</t>
  </si>
  <si>
    <t xml:space="preserve"> Safe Observation Leadership - 1 Per Week</t>
  </si>
  <si>
    <t>Robert Quak</t>
  </si>
  <si>
    <t>Any</t>
  </si>
  <si>
    <t>c</t>
  </si>
  <si>
    <t>Brian Weatherford</t>
  </si>
  <si>
    <t>Zac Coulson</t>
  </si>
  <si>
    <t>Mark Schlag</t>
  </si>
  <si>
    <t>John Clement</t>
  </si>
  <si>
    <t>Chris Ritter</t>
  </si>
  <si>
    <t>David Condon</t>
  </si>
  <si>
    <t>Glennita Greene</t>
  </si>
  <si>
    <t>Madison Healey</t>
  </si>
  <si>
    <t>Score</t>
  </si>
  <si>
    <t>V</t>
  </si>
  <si>
    <t>Robert always does more than required</t>
  </si>
  <si>
    <t>5/04/26 - 5/08/26</t>
  </si>
  <si>
    <t>Completed</t>
  </si>
  <si>
    <t>Vacation/OOO</t>
  </si>
  <si>
    <t>Required</t>
  </si>
  <si>
    <t>ooo</t>
  </si>
  <si>
    <t>FORMULA</t>
  </si>
  <si>
    <t xml:space="preserve"> </t>
  </si>
  <si>
    <t>SAFE OBSERVATION -GS and EHS</t>
  </si>
  <si>
    <t>7 questions</t>
  </si>
  <si>
    <t xml:space="preserve"> Safe Observation - EHS and GS - 2 per week</t>
  </si>
  <si>
    <t>Adams, Kenneth</t>
  </si>
  <si>
    <t>Alston, Jacoby</t>
  </si>
  <si>
    <t>Environmental/EHSQ</t>
  </si>
  <si>
    <t>Anderson, Stoney</t>
  </si>
  <si>
    <t>Benton, Jason</t>
  </si>
  <si>
    <t>Coleman, Reggie</t>
  </si>
  <si>
    <t>Douglas, Thomas</t>
  </si>
  <si>
    <t>Frias, Miguel</t>
  </si>
  <si>
    <t>C</t>
  </si>
  <si>
    <t>Gamble, Freddie</t>
  </si>
  <si>
    <t>Maintenance/EHSQ</t>
  </si>
  <si>
    <t>Gordon, Scott</t>
  </si>
  <si>
    <t>Kass, Timothy</t>
  </si>
  <si>
    <t>Cast House/EHSQ</t>
  </si>
  <si>
    <t>McNeil, Jason</t>
  </si>
  <si>
    <t>Murphy, Chris</t>
  </si>
  <si>
    <t>Profit, Bryan</t>
  </si>
  <si>
    <t>Potline/EHSQ</t>
  </si>
  <si>
    <t>Ravan, Donna</t>
  </si>
  <si>
    <t>Rudd, Michael</t>
  </si>
  <si>
    <t>Smith, Lewis (Wilson)</t>
  </si>
  <si>
    <t>Smith, Michael</t>
  </si>
  <si>
    <t>Sweatman, Gerald</t>
  </si>
  <si>
    <t>Tucker, Markese</t>
  </si>
  <si>
    <t>Wall, Anthony</t>
  </si>
  <si>
    <t>Carbon/EHSQ</t>
  </si>
  <si>
    <t>Washington, Tyrone</t>
  </si>
  <si>
    <t>Wilson, John</t>
  </si>
  <si>
    <t>Safety</t>
  </si>
  <si>
    <t>Smith, Lewis</t>
  </si>
  <si>
    <t>OOO</t>
  </si>
  <si>
    <t>o</t>
  </si>
  <si>
    <t>EHS</t>
  </si>
  <si>
    <t>Frost, Terrance</t>
  </si>
  <si>
    <t>v</t>
  </si>
  <si>
    <t>O</t>
  </si>
  <si>
    <t>Adelabu, Jarvis</t>
  </si>
  <si>
    <t>E</t>
  </si>
  <si>
    <t>Di Filippo, Art</t>
  </si>
  <si>
    <t>Maddi - excuse Terrance. I'm not sure I instructed him. Sent him e-mail 6-2-26</t>
  </si>
  <si>
    <t>Meyer, Brett</t>
  </si>
  <si>
    <t>X</t>
  </si>
  <si>
    <t>enter C for complete</t>
  </si>
  <si>
    <t>Berry, Craig</t>
  </si>
  <si>
    <t>4 audit do not have name but counted it towards monthly count</t>
  </si>
  <si>
    <t>ENTER NUMBER TURNED IN</t>
  </si>
  <si>
    <t>LOTO</t>
  </si>
  <si>
    <t>2 per month</t>
  </si>
  <si>
    <t>11.11 per question</t>
  </si>
  <si>
    <t>Art Di Filippo</t>
  </si>
  <si>
    <t>PPE</t>
  </si>
  <si>
    <t>One per week</t>
  </si>
  <si>
    <t>80</t>
  </si>
  <si>
    <t>MOBILE EQUIP</t>
  </si>
  <si>
    <t>PL</t>
  </si>
  <si>
    <t>PL Room 3 East</t>
  </si>
  <si>
    <t>Room 3 East</t>
  </si>
  <si>
    <t>locations to be re-inserted July 1</t>
  </si>
  <si>
    <t>PL Room 4 East</t>
  </si>
  <si>
    <t>Room 1 East</t>
  </si>
  <si>
    <t>Room 3 West</t>
  </si>
  <si>
    <t>CH</t>
  </si>
  <si>
    <t>Casting Pits/Billet Inspection Line</t>
  </si>
  <si>
    <t>Dross Room/Furnaces/Sow Line</t>
  </si>
  <si>
    <t>Homogenizing Furnaces/Pre-Heat/Cooling</t>
  </si>
  <si>
    <t>Moldshop</t>
  </si>
  <si>
    <t>Maintenance Area</t>
  </si>
  <si>
    <t>Shipping/Scales</t>
  </si>
  <si>
    <t>MT Carbon</t>
  </si>
  <si>
    <t>Maint</t>
  </si>
  <si>
    <t>Env</t>
  </si>
  <si>
    <t>Job and shift details</t>
  </si>
  <si>
    <t>Lead server</t>
  </si>
  <si>
    <t>Job 1</t>
  </si>
  <si>
    <t>Job 2</t>
  </si>
  <si>
    <t>Job 3</t>
  </si>
  <si>
    <t>Shift name</t>
  </si>
  <si>
    <t>Morning shift</t>
  </si>
  <si>
    <t>Code</t>
  </si>
  <si>
    <t>M</t>
  </si>
  <si>
    <t>Time of shift</t>
  </si>
  <si>
    <t>6:00 AM to 10:00 AM</t>
  </si>
  <si>
    <t>Day shift</t>
  </si>
  <si>
    <t>D</t>
  </si>
  <si>
    <t>11:00 AM to 9:00 PM</t>
  </si>
  <si>
    <t>Night shift</t>
  </si>
  <si>
    <t>N</t>
  </si>
  <si>
    <t>10:00 PM to 2:00 AM</t>
  </si>
  <si>
    <t>Day off code</t>
  </si>
  <si>
    <t>Pattern start date</t>
  </si>
  <si>
    <t>Shift pattern</t>
  </si>
  <si>
    <t>xxxMxxxMxxxMxxxM</t>
  </si>
  <si>
    <t>DxxxDxxxDxxxDxxxDxxx</t>
  </si>
  <si>
    <t>xNxxxNxxxNxxxNxxxNxx</t>
  </si>
  <si>
    <t>72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</si>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</sst>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"/>
    <numFmt numFmtId="165" formatCode="mmmm\ yyyy"/>
    <numFmt numFmtId="166" formatCode="[$-409]mmmm\ d\,\ yyyy;@"/>
    <numFmt numFmtId="167" formatCode=";;;"/>
  </numFmts>
  <fonts count="47" x14ac:knownFonts="1">
    <font>
      <sz val="11"/>
      <color theme="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1"/>
      <color theme="1" tint="0.14999847407452621"/>
      <name val="Franklin Gothic Book"/>
      <family val="2"/>
      <scheme val="minor"/>
    </font>
    <font>
      <b/>
      <sz val="9"/>
      <color theme="1" tint="4.9989318521683403E-2"/>
      <name val="Franklin Gothic Book"/>
      <family val="2"/>
      <scheme val="minor"/>
    </font>
    <font>
      <b/>
      <sz val="9"/>
      <color theme="3" tint="-0.249977111117893"/>
      <name val="Franklin Gothic Book"/>
      <family val="2"/>
      <scheme val="minor"/>
    </font>
    <font>
      <b/>
      <sz val="9"/>
      <color theme="0"/>
      <name val="Franklin Gothic Book"/>
      <family val="2"/>
      <scheme val="minor"/>
    </font>
    <font>
      <b/>
      <sz val="9"/>
      <color theme="1"/>
      <name val="Franklin Gothic Book"/>
      <family val="2"/>
      <scheme val="minor"/>
    </font>
    <font>
      <sz val="14"/>
      <color theme="1"/>
      <name val="Franklin Gothic Medium"/>
      <family val="2"/>
      <scheme val="major"/>
    </font>
    <font>
      <b/>
      <sz val="10"/>
      <color theme="0"/>
      <name val="Franklin Gothic Book"/>
      <family val="2"/>
      <scheme val="minor"/>
    </font>
    <font>
      <b/>
      <sz val="12"/>
      <color theme="0"/>
      <name val="Franklin Gothic Book"/>
      <family val="2"/>
      <scheme val="minor"/>
    </font>
    <font>
      <sz val="9"/>
      <color theme="1" tint="0.14999847407452621"/>
      <name val="Franklin Gothic Book"/>
      <family val="2"/>
      <scheme val="minor"/>
    </font>
    <font>
      <sz val="9"/>
      <color theme="0"/>
      <name val="Franklin Gothic Medium"/>
      <family val="2"/>
      <scheme val="major"/>
    </font>
    <font>
      <sz val="9"/>
      <name val="Franklin Gothic Book"/>
      <family val="2"/>
      <scheme val="minor"/>
    </font>
    <font>
      <b/>
      <sz val="12"/>
      <name val="Franklin Gothic Book"/>
      <family val="2"/>
      <scheme val="minor"/>
    </font>
    <font>
      <sz val="11"/>
      <name val="Franklin Gothic Book"/>
      <family val="2"/>
      <scheme val="minor"/>
    </font>
    <font>
      <sz val="12"/>
      <name val="Franklin Gothic Medium"/>
      <family val="2"/>
      <scheme val="major"/>
    </font>
    <font>
      <sz val="12"/>
      <name val="Franklin Gothic Book"/>
      <family val="2"/>
      <scheme val="minor"/>
    </font>
    <font>
      <b/>
      <sz val="9"/>
      <name val="Franklin Gothic Book"/>
      <family val="2"/>
      <scheme val="minor"/>
    </font>
    <font>
      <sz val="36"/>
      <color theme="3" tint="-0.499984740745262"/>
      <name val="Franklin Gothic Medium"/>
      <family val="2"/>
      <scheme val="major"/>
    </font>
    <font>
      <b/>
      <sz val="22"/>
      <color theme="3" tint="-0.499984740745262"/>
      <name val="Franklin Gothic Book"/>
      <family val="2"/>
      <scheme val="minor"/>
    </font>
    <font>
      <sz val="11"/>
      <color theme="3" tint="-0.499984740745262"/>
      <name val="Franklin Gothic Book"/>
      <family val="2"/>
      <scheme val="minor"/>
    </font>
    <font>
      <sz val="11"/>
      <color theme="3" tint="-0.499984740745262"/>
      <name val="Calibri"/>
      <family val="2"/>
    </font>
    <font>
      <sz val="22"/>
      <color theme="3" tint="-0.499984740745262"/>
      <name val="Franklin Gothic Medium"/>
      <family val="2"/>
      <scheme val="major"/>
    </font>
    <font>
      <b/>
      <sz val="22"/>
      <color theme="3" tint="-0.499984740745262"/>
      <name val="Franklin Gothic Medium"/>
      <family val="2"/>
      <scheme val="major"/>
    </font>
    <font>
      <b/>
      <sz val="11"/>
      <color theme="1"/>
      <name val="Franklin Gothic Book"/>
      <family val="2"/>
      <scheme val="minor"/>
    </font>
    <font>
      <b/>
      <sz val="11"/>
      <color theme="1" tint="0.14999847407452621"/>
      <name val="Franklin Gothic Book"/>
      <family val="2"/>
      <scheme val="minor"/>
    </font>
    <font>
      <b/>
      <sz val="9"/>
      <color theme="1" tint="0.14999847407452621"/>
      <name val="Franklin Gothic Book"/>
      <family val="2"/>
      <scheme val="minor"/>
    </font>
    <font>
      <b/>
      <sz val="10"/>
      <color theme="1" tint="0.14999847407452621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b/>
      <sz val="14"/>
      <color theme="1" tint="0.14999847407452621"/>
      <name val="Franklin Gothic Book"/>
      <family val="2"/>
      <scheme val="minor"/>
    </font>
    <font>
      <b/>
      <sz val="11"/>
      <name val="Franklin Gothic Book"/>
      <family val="2"/>
      <scheme val="minor"/>
    </font>
    <font>
      <strike/>
      <sz val="11"/>
      <name val="Franklin Gothic Book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Franklin Gothic Book"/>
      <family val="2"/>
      <scheme val="minor"/>
    </font>
    <font>
      <sz val="11"/>
      <color rgb="FF00B050"/>
      <name val="Franklin Gothic Book"/>
      <family val="2"/>
      <scheme val="minor"/>
    </font>
    <font>
      <b/>
      <strike/>
      <sz val="9"/>
      <color theme="1" tint="0.14999847407452621"/>
      <name val="Franklin Gothic Book"/>
      <family val="2"/>
      <scheme val="minor"/>
    </font>
    <font>
      <sz val="10"/>
      <name val="Arial"/>
      <family val="2"/>
    </font>
    <font>
      <sz val="7"/>
      <color theme="1" tint="0.14999847407452621"/>
      <name val="Franklin Gothic Book"/>
      <family val="2"/>
      <scheme val="minor"/>
    </font>
    <font>
      <b/>
      <sz val="9"/>
      <color rgb="FFFF000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strike/>
      <sz val="8"/>
      <name val="Franklin Gothic Book"/>
      <family val="2"/>
      <scheme val="minor"/>
    </font>
    <font>
      <strike/>
      <sz val="12"/>
      <name val="Arial"/>
      <family val="2"/>
    </font>
    <font>
      <strike/>
      <sz val="11"/>
      <name val="Arial"/>
      <family val="2"/>
    </font>
    <font>
      <sz val="10"/>
      <name val="Franklin Gothic Book"/>
      <family val="2"/>
      <scheme val="minor"/>
    </font>
    <font>
      <sz val="11"/>
      <name val="Arial"/>
      <family val="2"/>
    </font>
    <font>
      <strike/>
      <sz val="10"/>
      <name val="Franklin Gothic Book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-0.24994659260841701"/>
        <bgColor indexed="65"/>
      </patternFill>
    </fill>
    <fill>
      <patternFill patternType="solid">
        <fgColor theme="6" tint="-0.499984740745262"/>
        <bgColor indexed="65"/>
      </patternFill>
    </fill>
    <fill>
      <patternFill patternType="lightDown">
        <fgColor theme="3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4E3F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0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5" tint="0.59996337778862885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5" tint="0.59996337778862885"/>
      </left>
      <right style="thin">
        <color theme="0"/>
      </right>
      <top style="thin">
        <color theme="0"/>
      </top>
      <bottom style="thin">
        <color theme="5" tint="0.59996337778862885"/>
      </bottom>
      <diagonal/>
    </border>
    <border>
      <left style="thin">
        <color theme="8" tint="0.79998168889431442"/>
      </left>
      <right style="thin">
        <color theme="0"/>
      </right>
      <top style="thin">
        <color theme="8" tint="0.79998168889431442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79998168889431442"/>
      </left>
      <right style="thin">
        <color theme="0"/>
      </right>
      <top style="thin">
        <color theme="0"/>
      </top>
      <bottom style="thin">
        <color theme="8" tint="0.79998168889431442"/>
      </bottom>
      <diagonal/>
    </border>
    <border>
      <left style="thin">
        <color theme="7" tint="0.59996337778862885"/>
      </left>
      <right/>
      <top style="thin">
        <color theme="7" tint="0.59996337778862885"/>
      </top>
      <bottom style="thin">
        <color theme="0"/>
      </bottom>
      <diagonal/>
    </border>
    <border>
      <left style="thin">
        <color theme="7" tint="0.59996337778862885"/>
      </left>
      <right/>
      <top style="thin">
        <color theme="0"/>
      </top>
      <bottom style="thin">
        <color theme="0"/>
      </bottom>
      <diagonal/>
    </border>
    <border>
      <left style="thin">
        <color theme="7" tint="0.59996337778862885"/>
      </left>
      <right/>
      <top style="thin">
        <color theme="0"/>
      </top>
      <bottom style="thin">
        <color theme="7" tint="0.59996337778862885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/>
      </left>
      <right style="thin">
        <color theme="0" tint="-0.249977111117893"/>
      </right>
      <top/>
      <bottom/>
      <diagonal/>
    </border>
    <border>
      <left style="thin">
        <color theme="0"/>
      </left>
      <right/>
      <top style="thin">
        <color theme="5" tint="0.59996337778862885"/>
      </top>
      <bottom/>
      <diagonal/>
    </border>
    <border>
      <left style="thin">
        <color theme="0"/>
      </left>
      <right/>
      <top/>
      <bottom style="thin">
        <color theme="5" tint="0.59996337778862885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3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 tint="-0.24994659260841701"/>
      </bottom>
      <diagonal/>
    </border>
    <border>
      <left/>
      <right/>
      <top style="thin">
        <color theme="0"/>
      </top>
      <bottom style="thin">
        <color theme="0" tint="-0.24994659260841701"/>
      </bottom>
      <diagonal/>
    </border>
    <border>
      <left/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3" fillId="7" borderId="2">
      <alignment horizontal="center" vertical="center"/>
    </xf>
    <xf numFmtId="0" fontId="4" fillId="0" borderId="2" applyNumberFormat="0">
      <alignment horizontal="center" vertical="center"/>
    </xf>
    <xf numFmtId="0" fontId="5" fillId="8" borderId="2">
      <alignment horizontal="center" vertical="center"/>
    </xf>
    <xf numFmtId="0" fontId="3" fillId="2" borderId="2">
      <alignment horizontal="center" vertical="center"/>
    </xf>
    <xf numFmtId="0" fontId="5" fillId="9" borderId="2" applyNumberFormat="0">
      <alignment horizontal="center" vertical="center"/>
    </xf>
    <xf numFmtId="0" fontId="6" fillId="10" borderId="2" applyNumberFormat="0">
      <alignment horizontal="center" vertical="center"/>
    </xf>
  </cellStyleXfs>
  <cellXfs count="4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vertical="center"/>
    </xf>
    <xf numFmtId="167" fontId="2" fillId="0" borderId="5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5" borderId="1" xfId="0" applyFill="1" applyBorder="1"/>
    <xf numFmtId="164" fontId="5" fillId="6" borderId="4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6" borderId="4" xfId="0" applyFont="1" applyFill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3" borderId="1" xfId="0" applyFont="1" applyFill="1" applyBorder="1"/>
    <xf numFmtId="0" fontId="14" fillId="12" borderId="1" xfId="0" applyFont="1" applyFill="1" applyBorder="1"/>
    <xf numFmtId="0" fontId="10" fillId="3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17" fillId="3" borderId="21" xfId="0" applyFont="1" applyFill="1" applyBorder="1" applyAlignment="1">
      <alignment horizontal="left" vertical="center" indent="2"/>
    </xf>
    <xf numFmtId="0" fontId="17" fillId="3" borderId="20" xfId="0" applyFont="1" applyFill="1" applyBorder="1" applyAlignment="1">
      <alignment horizontal="left" vertical="center" indent="2"/>
    </xf>
    <xf numFmtId="0" fontId="17" fillId="3" borderId="22" xfId="0" applyFont="1" applyFill="1" applyBorder="1" applyAlignment="1">
      <alignment horizontal="left" vertical="center" indent="2"/>
    </xf>
    <xf numFmtId="0" fontId="12" fillId="3" borderId="0" xfId="0" applyFont="1" applyFill="1" applyAlignment="1">
      <alignment horizontal="left" vertical="center" indent="2"/>
    </xf>
    <xf numFmtId="0" fontId="12" fillId="4" borderId="0" xfId="0" applyFont="1" applyFill="1" applyAlignment="1">
      <alignment horizontal="left" vertical="center" indent="2"/>
    </xf>
    <xf numFmtId="0" fontId="17" fillId="4" borderId="20" xfId="0" applyFont="1" applyFill="1" applyBorder="1" applyAlignment="1">
      <alignment horizontal="left" vertical="center" indent="2"/>
    </xf>
    <xf numFmtId="0" fontId="17" fillId="4" borderId="0" xfId="0" applyFont="1" applyFill="1" applyAlignment="1">
      <alignment horizontal="left" vertical="center" indent="2"/>
    </xf>
    <xf numFmtId="0" fontId="17" fillId="5" borderId="0" xfId="0" applyFont="1" applyFill="1" applyAlignment="1">
      <alignment horizontal="left" vertical="center" indent="2"/>
    </xf>
    <xf numFmtId="0" fontId="17" fillId="5" borderId="19" xfId="0" applyFont="1" applyFill="1" applyBorder="1" applyAlignment="1">
      <alignment horizontal="left" vertical="center" indent="2"/>
    </xf>
    <xf numFmtId="0" fontId="16" fillId="3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0" fillId="14" borderId="0" xfId="0" applyFill="1" applyAlignment="1">
      <alignment vertical="center"/>
    </xf>
    <xf numFmtId="0" fontId="0" fillId="14" borderId="0" xfId="0" applyFill="1" applyAlignment="1">
      <alignment horizontal="left" vertical="center" indent="1"/>
    </xf>
    <xf numFmtId="0" fontId="10" fillId="14" borderId="0" xfId="0" applyFont="1" applyFill="1" applyAlignment="1">
      <alignment horizontal="left" vertical="center" indent="1"/>
    </xf>
    <xf numFmtId="0" fontId="1" fillId="14" borderId="0" xfId="0" applyFont="1" applyFill="1" applyAlignment="1">
      <alignment vertical="center"/>
    </xf>
    <xf numFmtId="0" fontId="9" fillId="14" borderId="0" xfId="0" applyFont="1" applyFill="1" applyAlignment="1">
      <alignment horizontal="left" vertical="center" indent="1"/>
    </xf>
    <xf numFmtId="0" fontId="5" fillId="14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/>
    </xf>
    <xf numFmtId="0" fontId="17" fillId="14" borderId="0" xfId="0" applyFont="1" applyFill="1" applyAlignment="1">
      <alignment horizontal="left" vertical="center" indent="2"/>
    </xf>
    <xf numFmtId="0" fontId="12" fillId="14" borderId="0" xfId="0" applyFont="1" applyFill="1" applyAlignment="1">
      <alignment horizontal="left" vertical="center" indent="2"/>
    </xf>
    <xf numFmtId="0" fontId="5" fillId="14" borderId="3" xfId="0" applyFont="1" applyFill="1" applyBorder="1" applyAlignment="1">
      <alignment vertical="center"/>
    </xf>
    <xf numFmtId="0" fontId="5" fillId="14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10" fillId="0" borderId="24" xfId="0" applyFont="1" applyBorder="1" applyAlignment="1">
      <alignment horizontal="left" vertical="center" indent="1"/>
    </xf>
    <xf numFmtId="166" fontId="10" fillId="0" borderId="24" xfId="0" applyNumberFormat="1" applyFont="1" applyBorder="1" applyAlignment="1">
      <alignment horizontal="left" vertical="center" indent="1"/>
    </xf>
    <xf numFmtId="0" fontId="0" fillId="0" borderId="23" xfId="0" applyBorder="1" applyAlignment="1">
      <alignment vertical="center"/>
    </xf>
    <xf numFmtId="0" fontId="5" fillId="13" borderId="31" xfId="0" applyFont="1" applyFill="1" applyBorder="1" applyAlignment="1">
      <alignment horizontal="left" vertical="center" indent="1"/>
    </xf>
    <xf numFmtId="0" fontId="5" fillId="13" borderId="26" xfId="0" applyFont="1" applyFill="1" applyBorder="1" applyAlignment="1">
      <alignment horizontal="left" vertical="center" indent="1"/>
    </xf>
    <xf numFmtId="166" fontId="10" fillId="0" borderId="18" xfId="0" applyNumberFormat="1" applyFont="1" applyBorder="1" applyAlignment="1">
      <alignment horizontal="left" vertical="center" indent="1"/>
    </xf>
    <xf numFmtId="0" fontId="5" fillId="13" borderId="0" xfId="0" applyFont="1" applyFill="1" applyAlignment="1">
      <alignment horizontal="left" vertical="center" indent="2"/>
    </xf>
    <xf numFmtId="164" fontId="5" fillId="6" borderId="25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horizontal="left" vertical="center" indent="1"/>
    </xf>
    <xf numFmtId="0" fontId="22" fillId="0" borderId="0" xfId="0" applyFont="1" applyAlignment="1">
      <alignment vertical="center"/>
    </xf>
    <xf numFmtId="0" fontId="18" fillId="0" borderId="34" xfId="0" applyFont="1" applyBorder="1" applyAlignment="1">
      <alignment horizontal="left"/>
    </xf>
    <xf numFmtId="0" fontId="19" fillId="0" borderId="34" xfId="0" applyFont="1" applyBorder="1" applyAlignment="1">
      <alignment vertical="center"/>
    </xf>
    <xf numFmtId="0" fontId="19" fillId="0" borderId="34" xfId="0" applyFont="1" applyBorder="1" applyAlignment="1">
      <alignment horizontal="left" vertical="center"/>
    </xf>
    <xf numFmtId="0" fontId="20" fillId="0" borderId="34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/>
    </xf>
    <xf numFmtId="0" fontId="23" fillId="0" borderId="34" xfId="0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4" fillId="0" borderId="0" xfId="0" applyFont="1"/>
    <xf numFmtId="0" fontId="26" fillId="3" borderId="5" xfId="0" applyFont="1" applyFill="1" applyBorder="1" applyAlignment="1">
      <alignment horizontal="left" vertical="center" indent="1"/>
    </xf>
    <xf numFmtId="0" fontId="26" fillId="4" borderId="1" xfId="0" applyFont="1" applyFill="1" applyBorder="1" applyAlignment="1">
      <alignment horizontal="left" vertical="center" indent="1"/>
    </xf>
    <xf numFmtId="0" fontId="26" fillId="5" borderId="1" xfId="0" applyFont="1" applyFill="1" applyBorder="1" applyAlignment="1">
      <alignment horizontal="left" vertical="center" indent="1"/>
    </xf>
    <xf numFmtId="0" fontId="27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9" fillId="6" borderId="7" xfId="0" applyNumberFormat="1" applyFont="1" applyFill="1" applyBorder="1" applyAlignment="1">
      <alignment horizontal="left" vertical="center" indent="1"/>
    </xf>
    <xf numFmtId="165" fontId="9" fillId="6" borderId="6" xfId="0" applyNumberFormat="1" applyFont="1" applyFill="1" applyBorder="1" applyAlignment="1">
      <alignment horizontal="left" vertical="center" indent="1"/>
    </xf>
    <xf numFmtId="0" fontId="5" fillId="11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7" fontId="2" fillId="0" borderId="40" xfId="0" applyNumberFormat="1" applyFont="1" applyBorder="1" applyAlignment="1">
      <alignment horizontal="center" vertical="center"/>
    </xf>
    <xf numFmtId="165" fontId="9" fillId="6" borderId="41" xfId="0" applyNumberFormat="1" applyFont="1" applyFill="1" applyBorder="1" applyAlignment="1">
      <alignment horizontal="left" vertical="center" indent="1"/>
    </xf>
    <xf numFmtId="0" fontId="26" fillId="3" borderId="42" xfId="0" applyFont="1" applyFill="1" applyBorder="1" applyAlignment="1">
      <alignment horizontal="left" vertical="center" indent="1"/>
    </xf>
    <xf numFmtId="0" fontId="26" fillId="4" borderId="38" xfId="0" applyFont="1" applyFill="1" applyBorder="1" applyAlignment="1">
      <alignment horizontal="left" vertical="center" indent="1"/>
    </xf>
    <xf numFmtId="0" fontId="26" fillId="12" borderId="38" xfId="0" applyFont="1" applyFill="1" applyBorder="1" applyAlignment="1">
      <alignment horizontal="left" vertical="center" indent="1"/>
    </xf>
    <xf numFmtId="167" fontId="2" fillId="0" borderId="43" xfId="0" applyNumberFormat="1" applyFont="1" applyBorder="1" applyAlignment="1">
      <alignment horizontal="center" vertical="center"/>
    </xf>
    <xf numFmtId="0" fontId="5" fillId="15" borderId="47" xfId="0" applyFont="1" applyFill="1" applyBorder="1" applyAlignment="1">
      <alignment horizontal="center" vertical="center"/>
    </xf>
    <xf numFmtId="0" fontId="5" fillId="15" borderId="48" xfId="0" applyFont="1" applyFill="1" applyBorder="1" applyAlignment="1">
      <alignment horizontal="center" vertical="center"/>
    </xf>
    <xf numFmtId="164" fontId="5" fillId="6" borderId="30" xfId="0" applyNumberFormat="1" applyFont="1" applyFill="1" applyBorder="1" applyAlignment="1">
      <alignment horizontal="center" vertical="center"/>
    </xf>
    <xf numFmtId="165" fontId="9" fillId="6" borderId="0" xfId="0" applyNumberFormat="1" applyFont="1" applyFill="1" applyAlignment="1">
      <alignment horizontal="left" vertical="center" indent="1"/>
    </xf>
    <xf numFmtId="0" fontId="26" fillId="4" borderId="48" xfId="0" applyFont="1" applyFill="1" applyBorder="1" applyAlignment="1">
      <alignment vertical="center"/>
    </xf>
    <xf numFmtId="0" fontId="26" fillId="3" borderId="49" xfId="0" applyFont="1" applyFill="1" applyBorder="1" applyAlignment="1">
      <alignment vertical="center"/>
    </xf>
    <xf numFmtId="0" fontId="14" fillId="0" borderId="50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4" fillId="0" borderId="51" xfId="0" applyFont="1" applyBorder="1" applyAlignment="1">
      <alignment vertical="center"/>
    </xf>
    <xf numFmtId="0" fontId="26" fillId="16" borderId="38" xfId="0" applyFont="1" applyFill="1" applyBorder="1" applyAlignment="1">
      <alignment horizontal="left" vertical="center" indent="1"/>
    </xf>
    <xf numFmtId="0" fontId="26" fillId="5" borderId="38" xfId="0" applyFont="1" applyFill="1" applyBorder="1" applyAlignment="1">
      <alignment horizontal="left" vertical="center" indent="1"/>
    </xf>
    <xf numFmtId="0" fontId="26" fillId="0" borderId="38" xfId="0" applyFont="1" applyBorder="1" applyAlignment="1">
      <alignment horizontal="left" vertical="center" indent="1"/>
    </xf>
    <xf numFmtId="0" fontId="26" fillId="17" borderId="38" xfId="0" applyFont="1" applyFill="1" applyBorder="1" applyAlignment="1">
      <alignment horizontal="left" vertical="center" indent="1"/>
    </xf>
    <xf numFmtId="0" fontId="26" fillId="3" borderId="42" xfId="0" applyFont="1" applyFill="1" applyBorder="1" applyAlignment="1">
      <alignment vertical="center"/>
    </xf>
    <xf numFmtId="0" fontId="26" fillId="4" borderId="38" xfId="0" applyFont="1" applyFill="1" applyBorder="1" applyAlignment="1">
      <alignment vertical="center"/>
    </xf>
    <xf numFmtId="0" fontId="26" fillId="16" borderId="38" xfId="0" applyFont="1" applyFill="1" applyBorder="1" applyAlignment="1">
      <alignment vertical="center"/>
    </xf>
    <xf numFmtId="0" fontId="26" fillId="5" borderId="38" xfId="0" applyFont="1" applyFill="1" applyBorder="1" applyAlignment="1">
      <alignment vertical="center"/>
    </xf>
    <xf numFmtId="0" fontId="26" fillId="0" borderId="38" xfId="0" applyFont="1" applyBorder="1" applyAlignment="1">
      <alignment vertical="center"/>
    </xf>
    <xf numFmtId="0" fontId="26" fillId="17" borderId="38" xfId="0" applyFont="1" applyFill="1" applyBorder="1" applyAlignment="1">
      <alignment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 applyAlignment="1">
      <alignment vertical="center"/>
    </xf>
    <xf numFmtId="0" fontId="5" fillId="11" borderId="64" xfId="0" applyFont="1" applyFill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/>
    </xf>
    <xf numFmtId="0" fontId="26" fillId="12" borderId="38" xfId="0" applyFont="1" applyFill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4" fillId="20" borderId="50" xfId="0" applyFont="1" applyFill="1" applyBorder="1" applyAlignment="1">
      <alignment vertical="center"/>
    </xf>
    <xf numFmtId="0" fontId="14" fillId="20" borderId="39" xfId="0" applyFont="1" applyFill="1" applyBorder="1" applyAlignment="1">
      <alignment vertical="center"/>
    </xf>
    <xf numFmtId="0" fontId="18" fillId="0" borderId="34" xfId="0" applyFont="1" applyBorder="1" applyAlignment="1">
      <alignment wrapText="1"/>
    </xf>
    <xf numFmtId="0" fontId="14" fillId="0" borderId="85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49" fontId="14" fillId="0" borderId="40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0" fontId="26" fillId="12" borderId="0" xfId="0" applyFont="1" applyFill="1" applyAlignment="1">
      <alignment horizontal="left" vertical="center" indent="1"/>
    </xf>
    <xf numFmtId="0" fontId="26" fillId="4" borderId="0" xfId="0" applyFont="1" applyFill="1" applyAlignment="1">
      <alignment vertical="center"/>
    </xf>
    <xf numFmtId="0" fontId="26" fillId="21" borderId="38" xfId="0" applyFont="1" applyFill="1" applyBorder="1" applyAlignment="1">
      <alignment vertical="center"/>
    </xf>
    <xf numFmtId="0" fontId="26" fillId="5" borderId="0" xfId="0" applyFont="1" applyFill="1" applyAlignment="1">
      <alignment horizontal="left" vertical="center" indent="1"/>
    </xf>
    <xf numFmtId="0" fontId="5" fillId="11" borderId="69" xfId="0" applyFont="1" applyFill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" fontId="2" fillId="0" borderId="40" xfId="0" applyNumberFormat="1" applyFont="1" applyBorder="1" applyAlignment="1">
      <alignment horizontal="center" vertical="center"/>
    </xf>
    <xf numFmtId="1" fontId="25" fillId="0" borderId="40" xfId="0" applyNumberFormat="1" applyFont="1" applyBorder="1" applyAlignment="1">
      <alignment horizontal="center" vertical="center"/>
    </xf>
    <xf numFmtId="1" fontId="2" fillId="0" borderId="4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" fontId="14" fillId="17" borderId="40" xfId="0" applyNumberFormat="1" applyFont="1" applyFill="1" applyBorder="1" applyAlignment="1">
      <alignment horizontal="center" vertical="center"/>
    </xf>
    <xf numFmtId="0" fontId="26" fillId="24" borderId="38" xfId="0" applyFont="1" applyFill="1" applyBorder="1" applyAlignment="1">
      <alignment vertical="center"/>
    </xf>
    <xf numFmtId="0" fontId="26" fillId="25" borderId="38" xfId="0" applyFont="1" applyFill="1" applyBorder="1" applyAlignment="1">
      <alignment vertical="center"/>
    </xf>
    <xf numFmtId="0" fontId="26" fillId="26" borderId="38" xfId="0" applyFont="1" applyFill="1" applyBorder="1" applyAlignment="1">
      <alignment vertical="center"/>
    </xf>
    <xf numFmtId="1" fontId="35" fillId="0" borderId="40" xfId="0" applyNumberFormat="1" applyFont="1" applyBorder="1" applyAlignment="1">
      <alignment horizontal="center" vertical="center"/>
    </xf>
    <xf numFmtId="1" fontId="14" fillId="4" borderId="40" xfId="0" applyNumberFormat="1" applyFont="1" applyFill="1" applyBorder="1" applyAlignment="1">
      <alignment horizontal="center" vertical="center"/>
    </xf>
    <xf numFmtId="0" fontId="14" fillId="20" borderId="39" xfId="0" applyFont="1" applyFill="1" applyBorder="1" applyAlignment="1">
      <alignment horizontal="center" vertical="center"/>
    </xf>
    <xf numFmtId="164" fontId="5" fillId="6" borderId="44" xfId="0" applyNumberFormat="1" applyFont="1" applyFill="1" applyBorder="1" applyAlignment="1">
      <alignment vertical="center"/>
    </xf>
    <xf numFmtId="164" fontId="5" fillId="6" borderId="45" xfId="0" applyNumberFormat="1" applyFont="1" applyFill="1" applyBorder="1" applyAlignment="1">
      <alignment vertical="center"/>
    </xf>
    <xf numFmtId="164" fontId="5" fillId="6" borderId="46" xfId="0" applyNumberFormat="1" applyFont="1" applyFill="1" applyBorder="1" applyAlignment="1">
      <alignment vertical="center"/>
    </xf>
    <xf numFmtId="0" fontId="26" fillId="4" borderId="0" xfId="0" applyFont="1" applyFill="1" applyAlignment="1">
      <alignment horizontal="left" vertical="center" indent="1"/>
    </xf>
    <xf numFmtId="0" fontId="5" fillId="11" borderId="63" xfId="0" applyFont="1" applyFill="1" applyBorder="1" applyAlignment="1">
      <alignment vertical="center"/>
    </xf>
    <xf numFmtId="0" fontId="5" fillId="11" borderId="58" xfId="0" applyFont="1" applyFill="1" applyBorder="1" applyAlignment="1">
      <alignment vertical="center"/>
    </xf>
    <xf numFmtId="0" fontId="26" fillId="12" borderId="0" xfId="0" applyFont="1" applyFill="1" applyAlignment="1">
      <alignment vertical="center"/>
    </xf>
    <xf numFmtId="0" fontId="36" fillId="4" borderId="38" xfId="0" applyFont="1" applyFill="1" applyBorder="1" applyAlignment="1">
      <alignment vertical="center"/>
    </xf>
    <xf numFmtId="0" fontId="34" fillId="0" borderId="50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6" fillId="12" borderId="38" xfId="0" applyFont="1" applyFill="1" applyBorder="1" applyAlignment="1">
      <alignment horizontal="left" vertical="center" indent="1"/>
    </xf>
    <xf numFmtId="0" fontId="26" fillId="4" borderId="91" xfId="0" applyFont="1" applyFill="1" applyBorder="1" applyAlignment="1">
      <alignment vertical="center"/>
    </xf>
    <xf numFmtId="0" fontId="26" fillId="4" borderId="92" xfId="0" applyFont="1" applyFill="1" applyBorder="1" applyAlignment="1">
      <alignment vertical="center"/>
    </xf>
    <xf numFmtId="0" fontId="26" fillId="4" borderId="49" xfId="0" applyFont="1" applyFill="1" applyBorder="1" applyAlignment="1">
      <alignment vertical="center"/>
    </xf>
    <xf numFmtId="167" fontId="2" fillId="0" borderId="38" xfId="0" applyNumberFormat="1" applyFont="1" applyBorder="1" applyAlignment="1">
      <alignment horizontal="center" vertical="center"/>
    </xf>
    <xf numFmtId="0" fontId="5" fillId="11" borderId="25" xfId="0" applyFont="1" applyFill="1" applyBorder="1" applyAlignment="1">
      <alignment horizontal="center" vertical="center"/>
    </xf>
    <xf numFmtId="0" fontId="4" fillId="0" borderId="2" xfId="3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11" borderId="62" xfId="0" applyFont="1" applyFill="1" applyBorder="1" applyAlignment="1">
      <alignment vertical="center"/>
    </xf>
    <xf numFmtId="0" fontId="5" fillId="11" borderId="30" xfId="0" applyFont="1" applyFill="1" applyBorder="1" applyAlignment="1">
      <alignment vertical="center"/>
    </xf>
    <xf numFmtId="0" fontId="5" fillId="11" borderId="93" xfId="0" applyFont="1" applyFill="1" applyBorder="1" applyAlignment="1">
      <alignment vertical="center"/>
    </xf>
    <xf numFmtId="0" fontId="5" fillId="11" borderId="41" xfId="0" applyFont="1" applyFill="1" applyBorder="1" applyAlignment="1">
      <alignment vertical="center"/>
    </xf>
    <xf numFmtId="0" fontId="5" fillId="11" borderId="94" xfId="0" applyFont="1" applyFill="1" applyBorder="1" applyAlignment="1">
      <alignment vertical="center"/>
    </xf>
    <xf numFmtId="167" fontId="2" fillId="0" borderId="53" xfId="0" applyNumberFormat="1" applyFont="1" applyBorder="1" applyAlignment="1">
      <alignment vertical="center"/>
    </xf>
    <xf numFmtId="167" fontId="2" fillId="0" borderId="96" xfId="0" applyNumberFormat="1" applyFont="1" applyBorder="1" applyAlignment="1">
      <alignment vertical="center"/>
    </xf>
    <xf numFmtId="167" fontId="4" fillId="0" borderId="2" xfId="3" applyNumberFormat="1">
      <alignment horizontal="center" vertical="center"/>
    </xf>
    <xf numFmtId="49" fontId="4" fillId="0" borderId="2" xfId="3" applyNumberFormat="1">
      <alignment horizontal="center" vertical="center"/>
    </xf>
    <xf numFmtId="1" fontId="4" fillId="0" borderId="2" xfId="3" applyNumberForma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4" fillId="0" borderId="75" xfId="0" applyFont="1" applyBorder="1" applyAlignment="1">
      <alignment vertical="center"/>
    </xf>
    <xf numFmtId="0" fontId="14" fillId="0" borderId="76" xfId="0" applyFont="1" applyBorder="1" applyAlignment="1">
      <alignment vertical="center"/>
    </xf>
    <xf numFmtId="49" fontId="2" fillId="0" borderId="36" xfId="0" applyNumberFormat="1" applyFont="1" applyBorder="1" applyAlignment="1">
      <alignment vertical="center"/>
    </xf>
    <xf numFmtId="49" fontId="2" fillId="0" borderId="97" xfId="0" applyNumberFormat="1" applyFont="1" applyBorder="1" applyAlignment="1">
      <alignment vertical="center"/>
    </xf>
    <xf numFmtId="164" fontId="39" fillId="6" borderId="4" xfId="0" applyNumberFormat="1" applyFont="1" applyFill="1" applyBorder="1" applyAlignment="1">
      <alignment horizontal="center" vertical="center"/>
    </xf>
    <xf numFmtId="0" fontId="26" fillId="3" borderId="0" xfId="0" applyFont="1" applyFill="1" applyAlignment="1">
      <alignment horizontal="left" vertical="center" indent="1"/>
    </xf>
    <xf numFmtId="2" fontId="2" fillId="0" borderId="0" xfId="0" applyNumberFormat="1" applyFont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6" fillId="29" borderId="38" xfId="0" applyFont="1" applyFill="1" applyBorder="1" applyAlignment="1">
      <alignment horizontal="left" vertical="center" indent="1"/>
    </xf>
    <xf numFmtId="0" fontId="36" fillId="29" borderId="48" xfId="0" applyFont="1" applyFill="1" applyBorder="1" applyAlignment="1">
      <alignment vertical="center"/>
    </xf>
    <xf numFmtId="0" fontId="26" fillId="3" borderId="42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44" fillId="0" borderId="50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4" fillId="0" borderId="51" xfId="0" applyFont="1" applyBorder="1" applyAlignment="1">
      <alignment horizontal="center" vertical="center"/>
    </xf>
    <xf numFmtId="0" fontId="45" fillId="0" borderId="50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51" xfId="0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/>
    </xf>
    <xf numFmtId="0" fontId="37" fillId="0" borderId="39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39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165" fontId="9" fillId="6" borderId="7" xfId="0" applyNumberFormat="1" applyFont="1" applyFill="1" applyBorder="1" applyAlignment="1">
      <alignment horizontal="left" vertical="center" indent="1"/>
    </xf>
    <xf numFmtId="165" fontId="9" fillId="6" borderId="6" xfId="0" applyNumberFormat="1" applyFont="1" applyFill="1" applyBorder="1" applyAlignment="1">
      <alignment horizontal="left" vertical="center" indent="1"/>
    </xf>
    <xf numFmtId="164" fontId="5" fillId="6" borderId="44" xfId="0" applyNumberFormat="1" applyFont="1" applyFill="1" applyBorder="1" applyAlignment="1">
      <alignment horizontal="center" vertical="center"/>
    </xf>
    <xf numFmtId="164" fontId="5" fillId="6" borderId="45" xfId="0" applyNumberFormat="1" applyFont="1" applyFill="1" applyBorder="1" applyAlignment="1">
      <alignment horizontal="center" vertical="center"/>
    </xf>
    <xf numFmtId="164" fontId="5" fillId="6" borderId="46" xfId="0" applyNumberFormat="1" applyFont="1" applyFill="1" applyBorder="1" applyAlignment="1">
      <alignment horizontal="center" vertical="center"/>
    </xf>
    <xf numFmtId="14" fontId="5" fillId="11" borderId="35" xfId="0" applyNumberFormat="1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41" fillId="0" borderId="51" xfId="0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62" xfId="0" applyFont="1" applyFill="1" applyBorder="1" applyAlignment="1">
      <alignment horizontal="center" vertical="center"/>
    </xf>
    <xf numFmtId="0" fontId="5" fillId="11" borderId="30" xfId="0" applyFont="1" applyFill="1" applyBorder="1" applyAlignment="1">
      <alignment horizontal="center" vertical="center"/>
    </xf>
    <xf numFmtId="165" fontId="9" fillId="6" borderId="52" xfId="0" applyNumberFormat="1" applyFont="1" applyFill="1" applyBorder="1" applyAlignment="1">
      <alignment horizontal="center" vertical="center"/>
    </xf>
    <xf numFmtId="0" fontId="14" fillId="19" borderId="50" xfId="0" applyFont="1" applyFill="1" applyBorder="1" applyAlignment="1">
      <alignment horizontal="center" vertical="center"/>
    </xf>
    <xf numFmtId="0" fontId="14" fillId="19" borderId="39" xfId="0" applyFont="1" applyFill="1" applyBorder="1" applyAlignment="1">
      <alignment horizontal="center" vertical="center"/>
    </xf>
    <xf numFmtId="0" fontId="14" fillId="19" borderId="51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right" wrapText="1"/>
    </xf>
    <xf numFmtId="164" fontId="5" fillId="6" borderId="35" xfId="0" applyNumberFormat="1" applyFont="1" applyFill="1" applyBorder="1" applyAlignment="1">
      <alignment horizontal="center" vertical="center"/>
    </xf>
    <xf numFmtId="164" fontId="5" fillId="6" borderId="36" xfId="0" applyNumberFormat="1" applyFont="1" applyFill="1" applyBorder="1" applyAlignment="1">
      <alignment horizontal="center" vertical="center"/>
    </xf>
    <xf numFmtId="164" fontId="5" fillId="6" borderId="37" xfId="0" applyNumberFormat="1" applyFont="1" applyFill="1" applyBorder="1" applyAlignment="1">
      <alignment horizontal="center" vertical="center"/>
    </xf>
    <xf numFmtId="167" fontId="2" fillId="0" borderId="38" xfId="0" applyNumberFormat="1" applyFont="1" applyBorder="1" applyAlignment="1">
      <alignment horizontal="center" vertical="center"/>
    </xf>
    <xf numFmtId="167" fontId="2" fillId="0" borderId="39" xfId="0" applyNumberFormat="1" applyFont="1" applyBorder="1" applyAlignment="1">
      <alignment horizontal="center" vertical="center"/>
    </xf>
    <xf numFmtId="167" fontId="2" fillId="0" borderId="40" xfId="0" applyNumberFormat="1" applyFont="1" applyBorder="1" applyAlignment="1">
      <alignment horizontal="center" vertical="center"/>
    </xf>
    <xf numFmtId="165" fontId="9" fillId="6" borderId="33" xfId="0" applyNumberFormat="1" applyFont="1" applyFill="1" applyBorder="1" applyAlignment="1">
      <alignment horizontal="left" vertical="center" indent="1"/>
    </xf>
    <xf numFmtId="165" fontId="9" fillId="6" borderId="41" xfId="0" applyNumberFormat="1" applyFont="1" applyFill="1" applyBorder="1" applyAlignment="1">
      <alignment horizontal="left" vertical="center" indent="1"/>
    </xf>
    <xf numFmtId="165" fontId="8" fillId="6" borderId="86" xfId="0" applyNumberFormat="1" applyFont="1" applyFill="1" applyBorder="1" applyAlignment="1">
      <alignment horizontal="center" vertical="center" wrapText="1"/>
    </xf>
    <xf numFmtId="165" fontId="8" fillId="6" borderId="87" xfId="0" applyNumberFormat="1" applyFont="1" applyFill="1" applyBorder="1" applyAlignment="1">
      <alignment horizontal="center" vertical="center" wrapText="1"/>
    </xf>
    <xf numFmtId="0" fontId="14" fillId="22" borderId="50" xfId="0" applyFont="1" applyFill="1" applyBorder="1" applyAlignment="1">
      <alignment horizontal="center" vertical="center"/>
    </xf>
    <xf numFmtId="0" fontId="14" fillId="22" borderId="39" xfId="0" applyFont="1" applyFill="1" applyBorder="1" applyAlignment="1">
      <alignment horizontal="center" vertical="center"/>
    </xf>
    <xf numFmtId="0" fontId="14" fillId="22" borderId="51" xfId="0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/>
    </xf>
    <xf numFmtId="0" fontId="14" fillId="5" borderId="39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34" fillId="18" borderId="50" xfId="0" applyFont="1" applyFill="1" applyBorder="1" applyAlignment="1">
      <alignment horizontal="center" vertical="center"/>
    </xf>
    <xf numFmtId="0" fontId="34" fillId="18" borderId="39" xfId="0" applyFont="1" applyFill="1" applyBorder="1" applyAlignment="1">
      <alignment horizontal="center" vertical="center"/>
    </xf>
    <xf numFmtId="0" fontId="34" fillId="18" borderId="51" xfId="0" applyFont="1" applyFill="1" applyBorder="1" applyAlignment="1">
      <alignment horizontal="center" vertical="center"/>
    </xf>
    <xf numFmtId="0" fontId="14" fillId="18" borderId="50" xfId="0" applyFont="1" applyFill="1" applyBorder="1" applyAlignment="1">
      <alignment horizontal="center" vertical="center"/>
    </xf>
    <xf numFmtId="0" fontId="14" fillId="18" borderId="39" xfId="0" applyFont="1" applyFill="1" applyBorder="1" applyAlignment="1">
      <alignment horizontal="center" vertical="center"/>
    </xf>
    <xf numFmtId="0" fontId="14" fillId="18" borderId="51" xfId="0" applyFont="1" applyFill="1" applyBorder="1" applyAlignment="1">
      <alignment horizontal="center" vertical="center"/>
    </xf>
    <xf numFmtId="0" fontId="14" fillId="23" borderId="50" xfId="0" applyFont="1" applyFill="1" applyBorder="1" applyAlignment="1">
      <alignment horizontal="center" vertical="center"/>
    </xf>
    <xf numFmtId="0" fontId="14" fillId="23" borderId="39" xfId="0" applyFont="1" applyFill="1" applyBorder="1" applyAlignment="1">
      <alignment horizontal="center" vertical="center"/>
    </xf>
    <xf numFmtId="0" fontId="14" fillId="23" borderId="51" xfId="0" applyFont="1" applyFill="1" applyBorder="1" applyAlignment="1">
      <alignment horizontal="center" vertical="center"/>
    </xf>
    <xf numFmtId="0" fontId="14" fillId="17" borderId="50" xfId="0" applyFont="1" applyFill="1" applyBorder="1" applyAlignment="1">
      <alignment horizontal="center" vertical="center"/>
    </xf>
    <xf numFmtId="0" fontId="14" fillId="17" borderId="39" xfId="0" applyFont="1" applyFill="1" applyBorder="1" applyAlignment="1">
      <alignment horizontal="center" vertical="center"/>
    </xf>
    <xf numFmtId="0" fontId="14" fillId="17" borderId="51" xfId="0" applyFont="1" applyFill="1" applyBorder="1" applyAlignment="1">
      <alignment horizontal="center" vertical="center"/>
    </xf>
    <xf numFmtId="0" fontId="14" fillId="28" borderId="50" xfId="0" applyFont="1" applyFill="1" applyBorder="1" applyAlignment="1">
      <alignment horizontal="center" vertical="center"/>
    </xf>
    <xf numFmtId="0" fontId="14" fillId="28" borderId="39" xfId="0" applyFont="1" applyFill="1" applyBorder="1" applyAlignment="1">
      <alignment horizontal="center" vertical="center"/>
    </xf>
    <xf numFmtId="0" fontId="14" fillId="28" borderId="51" xfId="0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31" fillId="17" borderId="50" xfId="0" applyFont="1" applyFill="1" applyBorder="1" applyAlignment="1">
      <alignment horizontal="center" vertical="center"/>
    </xf>
    <xf numFmtId="0" fontId="31" fillId="17" borderId="39" xfId="0" applyFont="1" applyFill="1" applyBorder="1" applyAlignment="1">
      <alignment horizontal="center" vertical="center"/>
    </xf>
    <xf numFmtId="0" fontId="31" fillId="17" borderId="51" xfId="0" applyFont="1" applyFill="1" applyBorder="1" applyAlignment="1">
      <alignment horizontal="center" vertical="center"/>
    </xf>
    <xf numFmtId="0" fontId="31" fillId="19" borderId="50" xfId="0" applyFont="1" applyFill="1" applyBorder="1" applyAlignment="1">
      <alignment horizontal="center" vertical="center"/>
    </xf>
    <xf numFmtId="0" fontId="31" fillId="19" borderId="39" xfId="0" applyFont="1" applyFill="1" applyBorder="1" applyAlignment="1">
      <alignment horizontal="center" vertical="center"/>
    </xf>
    <xf numFmtId="0" fontId="31" fillId="19" borderId="51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 vertical="center"/>
    </xf>
    <xf numFmtId="0" fontId="31" fillId="29" borderId="50" xfId="0" applyFont="1" applyFill="1" applyBorder="1" applyAlignment="1">
      <alignment horizontal="center" vertical="center"/>
    </xf>
    <xf numFmtId="0" fontId="31" fillId="29" borderId="39" xfId="0" applyFont="1" applyFill="1" applyBorder="1" applyAlignment="1">
      <alignment horizontal="center" vertical="center"/>
    </xf>
    <xf numFmtId="0" fontId="31" fillId="29" borderId="51" xfId="0" applyFont="1" applyFill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2" fontId="2" fillId="0" borderId="39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49" fontId="2" fillId="0" borderId="40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2" fontId="2" fillId="0" borderId="55" xfId="0" applyNumberFormat="1" applyFont="1" applyBorder="1" applyAlignment="1">
      <alignment horizontal="center" vertical="center"/>
    </xf>
    <xf numFmtId="49" fontId="2" fillId="0" borderId="38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165" fontId="9" fillId="6" borderId="60" xfId="0" applyNumberFormat="1" applyFont="1" applyFill="1" applyBorder="1" applyAlignment="1">
      <alignment horizontal="center" vertical="center"/>
    </xf>
    <xf numFmtId="165" fontId="9" fillId="6" borderId="61" xfId="0" applyNumberFormat="1" applyFont="1" applyFill="1" applyBorder="1" applyAlignment="1">
      <alignment horizontal="center" vertical="center"/>
    </xf>
    <xf numFmtId="0" fontId="5" fillId="15" borderId="50" xfId="0" applyFont="1" applyFill="1" applyBorder="1" applyAlignment="1">
      <alignment horizontal="center" vertical="center"/>
    </xf>
    <xf numFmtId="0" fontId="5" fillId="15" borderId="39" xfId="0" applyFont="1" applyFill="1" applyBorder="1" applyAlignment="1">
      <alignment horizontal="center" vertical="center"/>
    </xf>
    <xf numFmtId="0" fontId="5" fillId="15" borderId="51" xfId="0" applyFont="1" applyFill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/>
    </xf>
    <xf numFmtId="1" fontId="2" fillId="0" borderId="4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50" xfId="0" applyNumberFormat="1" applyFont="1" applyBorder="1" applyAlignment="1">
      <alignment horizontal="center" vertical="center"/>
    </xf>
    <xf numFmtId="167" fontId="4" fillId="0" borderId="2" xfId="3" applyNumberForma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165" fontId="9" fillId="6" borderId="0" xfId="0" applyNumberFormat="1" applyFont="1" applyFill="1" applyAlignment="1">
      <alignment horizontal="center" vertical="center"/>
    </xf>
    <xf numFmtId="0" fontId="5" fillId="15" borderId="54" xfId="0" applyFont="1" applyFill="1" applyBorder="1" applyAlignment="1">
      <alignment horizontal="center" vertical="center"/>
    </xf>
    <xf numFmtId="0" fontId="5" fillId="15" borderId="55" xfId="0" applyFont="1" applyFill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58" xfId="0" applyFont="1" applyFill="1" applyBorder="1" applyAlignment="1">
      <alignment horizontal="center" vertical="center"/>
    </xf>
    <xf numFmtId="0" fontId="5" fillId="11" borderId="59" xfId="0" applyFont="1" applyFill="1" applyBorder="1" applyAlignment="1">
      <alignment horizontal="center" vertical="center"/>
    </xf>
    <xf numFmtId="0" fontId="5" fillId="11" borderId="69" xfId="0" applyFont="1" applyFill="1" applyBorder="1" applyAlignment="1">
      <alignment horizontal="center" vertical="center"/>
    </xf>
    <xf numFmtId="0" fontId="5" fillId="11" borderId="72" xfId="0" applyFont="1" applyFill="1" applyBorder="1" applyAlignment="1">
      <alignment horizontal="center" vertical="center"/>
    </xf>
    <xf numFmtId="0" fontId="5" fillId="11" borderId="73" xfId="0" applyFont="1" applyFill="1" applyBorder="1" applyAlignment="1">
      <alignment horizontal="center" vertical="center"/>
    </xf>
    <xf numFmtId="0" fontId="14" fillId="19" borderId="75" xfId="0" applyFont="1" applyFill="1" applyBorder="1" applyAlignment="1">
      <alignment horizontal="center" vertical="center"/>
    </xf>
    <xf numFmtId="0" fontId="14" fillId="19" borderId="76" xfId="0" applyFont="1" applyFill="1" applyBorder="1" applyAlignment="1">
      <alignment horizontal="center" vertical="center"/>
    </xf>
    <xf numFmtId="0" fontId="14" fillId="19" borderId="77" xfId="0" applyFont="1" applyFill="1" applyBorder="1" applyAlignment="1">
      <alignment horizontal="center" vertical="center"/>
    </xf>
    <xf numFmtId="0" fontId="14" fillId="0" borderId="75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164" fontId="5" fillId="6" borderId="98" xfId="0" applyNumberFormat="1" applyFont="1" applyFill="1" applyBorder="1" applyAlignment="1">
      <alignment horizontal="center" vertical="center"/>
    </xf>
    <xf numFmtId="164" fontId="5" fillId="6" borderId="33" xfId="0" applyNumberFormat="1" applyFont="1" applyFill="1" applyBorder="1" applyAlignment="1">
      <alignment horizontal="center" vertical="center"/>
    </xf>
    <xf numFmtId="0" fontId="5" fillId="11" borderId="88" xfId="0" applyFont="1" applyFill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29" fillId="18" borderId="0" xfId="0" applyFont="1" applyFill="1" applyAlignment="1">
      <alignment horizontal="left" vertical="center"/>
    </xf>
    <xf numFmtId="0" fontId="20" fillId="0" borderId="34" xfId="0" applyFont="1" applyBorder="1" applyAlignment="1">
      <alignment horizontal="center" vertical="center"/>
    </xf>
    <xf numFmtId="0" fontId="2" fillId="0" borderId="89" xfId="0" applyFont="1" applyBorder="1" applyAlignment="1">
      <alignment horizontal="right" vertical="center"/>
    </xf>
    <xf numFmtId="10" fontId="2" fillId="0" borderId="38" xfId="0" applyNumberFormat="1" applyFont="1" applyBorder="1" applyAlignment="1">
      <alignment horizontal="center" vertical="center"/>
    </xf>
    <xf numFmtId="10" fontId="2" fillId="0" borderId="40" xfId="0" applyNumberFormat="1" applyFont="1" applyBorder="1" applyAlignment="1">
      <alignment horizontal="center" vertical="center"/>
    </xf>
    <xf numFmtId="1" fontId="2" fillId="27" borderId="55" xfId="0" applyNumberFormat="1" applyFont="1" applyFill="1" applyBorder="1" applyAlignment="1">
      <alignment horizontal="center" vertical="center"/>
    </xf>
    <xf numFmtId="49" fontId="2" fillId="0" borderId="54" xfId="0" applyNumberFormat="1" applyFont="1" applyBorder="1" applyAlignment="1">
      <alignment horizontal="right" vertical="center"/>
    </xf>
    <xf numFmtId="49" fontId="2" fillId="0" borderId="55" xfId="0" applyNumberFormat="1" applyFont="1" applyBorder="1" applyAlignment="1">
      <alignment horizontal="right" vertical="center"/>
    </xf>
    <xf numFmtId="0" fontId="14" fillId="18" borderId="65" xfId="0" applyFont="1" applyFill="1" applyBorder="1" applyAlignment="1">
      <alignment horizontal="center" vertical="center"/>
    </xf>
    <xf numFmtId="0" fontId="14" fillId="18" borderId="53" xfId="0" applyFont="1" applyFill="1" applyBorder="1" applyAlignment="1">
      <alignment horizontal="center" vertical="center"/>
    </xf>
    <xf numFmtId="0" fontId="14" fillId="18" borderId="70" xfId="0" applyFont="1" applyFill="1" applyBorder="1" applyAlignment="1">
      <alignment horizontal="center" vertical="center"/>
    </xf>
    <xf numFmtId="0" fontId="5" fillId="15" borderId="83" xfId="0" applyFont="1" applyFill="1" applyBorder="1" applyAlignment="1">
      <alignment horizontal="center" vertical="center"/>
    </xf>
    <xf numFmtId="0" fontId="5" fillId="15" borderId="84" xfId="0" applyFont="1" applyFill="1" applyBorder="1" applyAlignment="1">
      <alignment horizontal="center" vertical="center"/>
    </xf>
    <xf numFmtId="0" fontId="5" fillId="15" borderId="82" xfId="0" applyFont="1" applyFill="1" applyBorder="1" applyAlignment="1">
      <alignment horizontal="center" vertical="center"/>
    </xf>
    <xf numFmtId="164" fontId="5" fillId="6" borderId="79" xfId="0" applyNumberFormat="1" applyFont="1" applyFill="1" applyBorder="1" applyAlignment="1">
      <alignment horizontal="center" vertical="center"/>
    </xf>
    <xf numFmtId="164" fontId="5" fillId="6" borderId="80" xfId="0" applyNumberFormat="1" applyFont="1" applyFill="1" applyBorder="1" applyAlignment="1">
      <alignment horizontal="center" vertical="center"/>
    </xf>
    <xf numFmtId="164" fontId="5" fillId="6" borderId="81" xfId="0" applyNumberFormat="1" applyFont="1" applyFill="1" applyBorder="1" applyAlignment="1">
      <alignment horizontal="center" vertical="center"/>
    </xf>
    <xf numFmtId="0" fontId="5" fillId="15" borderId="79" xfId="0" applyFont="1" applyFill="1" applyBorder="1" applyAlignment="1">
      <alignment horizontal="center" vertical="center"/>
    </xf>
    <xf numFmtId="0" fontId="5" fillId="15" borderId="80" xfId="0" applyFont="1" applyFill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29" borderId="65" xfId="0" applyFont="1" applyFill="1" applyBorder="1" applyAlignment="1">
      <alignment horizontal="center" vertical="center"/>
    </xf>
    <xf numFmtId="0" fontId="31" fillId="29" borderId="53" xfId="0" applyFont="1" applyFill="1" applyBorder="1" applyAlignment="1">
      <alignment horizontal="center" vertical="center"/>
    </xf>
    <xf numFmtId="0" fontId="31" fillId="29" borderId="70" xfId="0" applyFont="1" applyFill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2" fillId="18" borderId="33" xfId="0" applyFont="1" applyFill="1" applyBorder="1" applyAlignment="1">
      <alignment horizontal="center" vertical="center"/>
    </xf>
    <xf numFmtId="0" fontId="14" fillId="19" borderId="65" xfId="0" applyFont="1" applyFill="1" applyBorder="1" applyAlignment="1">
      <alignment horizontal="center" vertical="center"/>
    </xf>
    <xf numFmtId="0" fontId="14" fillId="19" borderId="53" xfId="0" applyFont="1" applyFill="1" applyBorder="1" applyAlignment="1">
      <alignment horizontal="center" vertical="center"/>
    </xf>
    <xf numFmtId="49" fontId="38" fillId="18" borderId="38" xfId="0" applyNumberFormat="1" applyFont="1" applyFill="1" applyBorder="1" applyAlignment="1">
      <alignment horizontal="center" vertical="center" wrapText="1"/>
    </xf>
    <xf numFmtId="49" fontId="38" fillId="18" borderId="39" xfId="0" applyNumberFormat="1" applyFont="1" applyFill="1" applyBorder="1" applyAlignment="1">
      <alignment horizontal="center" vertical="center" wrapText="1"/>
    </xf>
    <xf numFmtId="49" fontId="38" fillId="18" borderId="40" xfId="0" applyNumberFormat="1" applyFont="1" applyFill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2" fillId="0" borderId="85" xfId="0" applyFont="1" applyBorder="1" applyAlignment="1">
      <alignment horizontal="center" vertical="center"/>
    </xf>
    <xf numFmtId="1" fontId="2" fillId="0" borderId="90" xfId="0" applyNumberFormat="1" applyFont="1" applyBorder="1" applyAlignment="1">
      <alignment horizontal="center" vertical="center"/>
    </xf>
    <xf numFmtId="1" fontId="2" fillId="0" borderId="77" xfId="0" applyNumberFormat="1" applyFont="1" applyBorder="1" applyAlignment="1">
      <alignment horizontal="center" vertical="center"/>
    </xf>
    <xf numFmtId="49" fontId="2" fillId="0" borderId="90" xfId="0" applyNumberFormat="1" applyFont="1" applyBorder="1" applyAlignment="1">
      <alignment horizontal="center" vertical="center"/>
    </xf>
    <xf numFmtId="49" fontId="2" fillId="0" borderId="77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7" fontId="2" fillId="0" borderId="85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" fillId="0" borderId="95" xfId="0" applyNumberFormat="1" applyFont="1" applyBorder="1" applyAlignment="1">
      <alignment horizontal="center" vertical="center"/>
    </xf>
    <xf numFmtId="0" fontId="14" fillId="20" borderId="50" xfId="0" applyFont="1" applyFill="1" applyBorder="1" applyAlignment="1">
      <alignment horizontal="center" vertical="center"/>
    </xf>
    <xf numFmtId="0" fontId="14" fillId="20" borderId="39" xfId="0" applyFont="1" applyFill="1" applyBorder="1" applyAlignment="1">
      <alignment horizontal="center" vertical="center"/>
    </xf>
    <xf numFmtId="49" fontId="2" fillId="0" borderId="76" xfId="0" applyNumberFormat="1" applyFont="1" applyBorder="1" applyAlignment="1">
      <alignment horizontal="center" vertical="center"/>
    </xf>
    <xf numFmtId="164" fontId="5" fillId="6" borderId="99" xfId="0" applyNumberFormat="1" applyFont="1" applyFill="1" applyBorder="1" applyAlignment="1">
      <alignment horizontal="center" vertical="center"/>
    </xf>
    <xf numFmtId="0" fontId="14" fillId="29" borderId="53" xfId="0" applyFont="1" applyFill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29" borderId="90" xfId="0" applyFont="1" applyFill="1" applyBorder="1" applyAlignment="1">
      <alignment horizontal="center" vertical="center"/>
    </xf>
    <xf numFmtId="0" fontId="2" fillId="29" borderId="76" xfId="0" applyFont="1" applyFill="1" applyBorder="1" applyAlignment="1">
      <alignment horizontal="center" vertical="center"/>
    </xf>
    <xf numFmtId="0" fontId="2" fillId="29" borderId="77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left" vertical="center" indent="1"/>
    </xf>
    <xf numFmtId="0" fontId="10" fillId="0" borderId="29" xfId="0" applyFont="1" applyBorder="1" applyAlignment="1">
      <alignment horizontal="left" vertical="center" indent="1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9" fillId="6" borderId="32" xfId="0" applyFont="1" applyFill="1" applyBorder="1" applyAlignment="1">
      <alignment horizontal="left" vertical="center" indent="1"/>
    </xf>
    <xf numFmtId="0" fontId="11" fillId="6" borderId="8" xfId="0" applyFont="1" applyFill="1" applyBorder="1" applyAlignment="1">
      <alignment horizontal="left" vertical="center" indent="1"/>
    </xf>
    <xf numFmtId="0" fontId="11" fillId="6" borderId="30" xfId="0" applyFont="1" applyFill="1" applyBorder="1" applyAlignment="1">
      <alignment horizontal="left" vertical="center" indent="1"/>
    </xf>
    <xf numFmtId="0" fontId="5" fillId="13" borderId="3" xfId="0" applyFont="1" applyFill="1" applyBorder="1" applyAlignment="1">
      <alignment horizontal="left" vertical="center" indent="1"/>
    </xf>
    <xf numFmtId="0" fontId="5" fillId="13" borderId="0" xfId="0" applyFont="1" applyFill="1" applyAlignment="1">
      <alignment horizontal="left" vertical="center" indent="1"/>
    </xf>
    <xf numFmtId="0" fontId="10" fillId="0" borderId="28" xfId="0" applyFont="1" applyBorder="1" applyAlignment="1">
      <alignment horizontal="left" vertical="center" indent="1"/>
    </xf>
    <xf numFmtId="166" fontId="10" fillId="0" borderId="27" xfId="0" applyNumberFormat="1" applyFont="1" applyBorder="1" applyAlignment="1">
      <alignment horizontal="left" vertical="center" indent="1"/>
    </xf>
    <xf numFmtId="166" fontId="10" fillId="0" borderId="28" xfId="0" applyNumberFormat="1" applyFont="1" applyBorder="1" applyAlignment="1">
      <alignment horizontal="left" vertical="center" indent="1"/>
    </xf>
  </cellXfs>
  <cellStyles count="8">
    <cellStyle name="Day Off" xfId="3" xr:uid="{00000000-0005-0000-0000-000000000000}"/>
    <cellStyle name="Day Shift" xfId="2" xr:uid="{00000000-0005-0000-0000-000001000000}"/>
    <cellStyle name="Day/Night Shift" xfId="5" xr:uid="{00000000-0005-0000-0000-000002000000}"/>
    <cellStyle name="Holidays" xfId="6" xr:uid="{00000000-0005-0000-0000-000003000000}"/>
    <cellStyle name="Night Shift" xfId="4" xr:uid="{00000000-0005-0000-0000-000004000000}"/>
    <cellStyle name="Non Working" xfId="7" xr:uid="{00000000-0005-0000-0000-000005000000}"/>
    <cellStyle name="Normal" xfId="0" builtinId="0"/>
    <cellStyle name="Normal 2" xfId="1" xr:uid="{00000000-0005-0000-0000-000007000000}"/>
  </cellStyles>
  <dxfs count="63"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4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B4E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ift Work Calendar">
  <a:themeElements>
    <a:clrScheme name="Custom 158">
      <a:dk1>
        <a:srgbClr val="000000"/>
      </a:dk1>
      <a:lt1>
        <a:srgbClr val="FFFFFF"/>
      </a:lt1>
      <a:dk2>
        <a:srgbClr val="5E5E5E"/>
      </a:dk2>
      <a:lt2>
        <a:srgbClr val="D6D5D5"/>
      </a:lt2>
      <a:accent1>
        <a:srgbClr val="DF2D25"/>
      </a:accent1>
      <a:accent2>
        <a:srgbClr val="62C99E"/>
      </a:accent2>
      <a:accent3>
        <a:srgbClr val="62C99E"/>
      </a:accent3>
      <a:accent4>
        <a:srgbClr val="45B9EC"/>
      </a:accent4>
      <a:accent5>
        <a:srgbClr val="0000FF"/>
      </a:accent5>
      <a:accent6>
        <a:srgbClr val="EF2F94"/>
      </a:accent6>
      <a:hlink>
        <a:srgbClr val="0000FF"/>
      </a:hlink>
      <a:folHlink>
        <a:srgbClr val="FF00FF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hit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38100" tIns="38100" rIns="38100" bIns="381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0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38100" dist="12700" dir="5400000" rotWithShape="0">
                <a:srgbClr val="000000">
                  <a:alpha val="50000"/>
                </a:srgbClr>
              </a:outerShdw>
            </a:effectLst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381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32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Gill Sans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  <a:extLst>
    <a:ext uri="{05A4C25C-085E-4340-85A3-A5531E510DB2}">
      <thm15:themeFamily xmlns:thm15="http://schemas.microsoft.com/office/thememl/2012/main" name=" ShiftCalendar" id="{C0C15053-41A7-A842-8BD5-207B5038EBEC}" vid="{EDF4B661-04CF-B74B-852D-F3AE147C5ED3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F5DD-0586-4DA5-9B8C-5DE689B6855C}">
  <sheetPr codeName="Sheet4">
    <pageSetUpPr fitToPage="1"/>
  </sheetPr>
  <dimension ref="A1:AO73"/>
  <sheetViews>
    <sheetView showGridLines="0" topLeftCell="A51" zoomScaleNormal="100" workbookViewId="0">
      <selection activeCell="F77" sqref="F77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41" width="3.77734375" style="3" customWidth="1"/>
    <col min="42" max="16384" width="8.88671875" style="3" hidden="1"/>
  </cols>
  <sheetData>
    <row r="1" spans="2:40" ht="4.9000000000000004" customHeight="1" x14ac:dyDescent="0.3"/>
    <row r="2" spans="2:40" s="59" customFormat="1" ht="60" customHeight="1" x14ac:dyDescent="0.8">
      <c r="B2" s="62" t="s">
        <v>0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4"/>
      <c r="N2" s="65"/>
      <c r="O2" s="65"/>
      <c r="P2" s="65"/>
      <c r="Q2" s="65"/>
      <c r="R2" s="65"/>
      <c r="S2" s="65"/>
      <c r="T2" s="65"/>
      <c r="U2" s="65"/>
      <c r="V2" s="65"/>
      <c r="W2" s="65"/>
      <c r="X2" s="65" t="s">
        <v>1</v>
      </c>
      <c r="Y2" s="65"/>
      <c r="Z2" s="65"/>
      <c r="AA2" s="65"/>
      <c r="AB2" s="65"/>
      <c r="AC2" s="65"/>
      <c r="AD2" s="65"/>
      <c r="AE2" s="65"/>
      <c r="AF2" s="65"/>
      <c r="AG2" s="65"/>
      <c r="AH2" s="66"/>
      <c r="AI2" s="232">
        <f ca="1">IF(MONTH(TODAY())=12,YEAR(TODAY())+1,YEAR(TODAY()))</f>
        <v>2026</v>
      </c>
      <c r="AJ2" s="232"/>
      <c r="AK2" s="232"/>
      <c r="AL2" s="232"/>
      <c r="AM2" s="232"/>
      <c r="AN2" s="232"/>
    </row>
    <row r="3" spans="2:40" customFormat="1" ht="19.899999999999999" customHeight="1" x14ac:dyDescent="0.3">
      <c r="B3" s="70"/>
      <c r="C3" s="70"/>
    </row>
    <row r="4" spans="2:40" customFormat="1" ht="18.95" customHeight="1" x14ac:dyDescent="0.3">
      <c r="B4" s="70"/>
      <c r="C4" s="70"/>
      <c r="AD4" s="16" t="s">
        <v>2</v>
      </c>
      <c r="AE4" s="17"/>
      <c r="AF4" s="18"/>
      <c r="AG4" s="17"/>
      <c r="AH4" s="16" t="s">
        <v>3</v>
      </c>
      <c r="AI4" s="17"/>
      <c r="AJ4" s="19"/>
      <c r="AK4" s="17"/>
      <c r="AL4" s="16" t="s">
        <v>4</v>
      </c>
      <c r="AM4" s="3"/>
      <c r="AN4" s="8"/>
    </row>
    <row r="5" spans="2:40" customFormat="1" ht="19.899999999999999" customHeight="1" x14ac:dyDescent="0.3">
      <c r="B5" s="70"/>
      <c r="C5" s="70"/>
    </row>
    <row r="6" spans="2:40" s="75" customFormat="1" ht="19.899999999999999" hidden="1" customHeight="1" x14ac:dyDescent="0.3">
      <c r="B6" s="211">
        <f ca="1">DATE(CalendarYear,1,1)</f>
        <v>46023</v>
      </c>
      <c r="C6" s="82"/>
      <c r="D6" s="213" t="s">
        <v>5</v>
      </c>
      <c r="E6" s="214"/>
      <c r="F6" s="214"/>
      <c r="G6" s="214"/>
      <c r="H6" s="215"/>
      <c r="I6" s="213" t="s">
        <v>6</v>
      </c>
      <c r="J6" s="214"/>
      <c r="K6" s="214"/>
      <c r="L6" s="214"/>
      <c r="M6" s="215"/>
      <c r="N6" s="213" t="s">
        <v>7</v>
      </c>
      <c r="O6" s="214"/>
      <c r="P6" s="214"/>
      <c r="Q6" s="214"/>
      <c r="R6" s="215"/>
      <c r="S6" s="213" t="s">
        <v>8</v>
      </c>
      <c r="T6" s="214"/>
      <c r="U6" s="214"/>
      <c r="V6" s="214"/>
      <c r="W6" s="215"/>
      <c r="X6" s="57">
        <f ca="1">IF(DAY(JanSun1)=1,IF(AND(YEAR(JanSun1+14)=CalendarYear,MONTH(JanSun1+14)=1),JanSun1+14,""),IF(AND(YEAR(JanSun1+21)=CalendarYear,MONTH(JanSun1+21)=1),JanSun1+21,""))</f>
        <v>46039</v>
      </c>
      <c r="Y6" s="57">
        <f ca="1">IF(DAY(JanSun1)=1,IF(AND(YEAR(JanSun1+15)=CalendarYear,MONTH(JanSun1+15)=1),JanSun1+15,""),IF(AND(YEAR(JanSun1+22)=CalendarYear,MONTH(JanSun1+22)=1),JanSun1+22,""))</f>
        <v>46040</v>
      </c>
      <c r="Z6" s="57">
        <f ca="1">IF(DAY(JanSun1)=1,IF(AND(YEAR(JanSun1+16)=CalendarYear,MONTH(JanSun1+16)=1),JanSun1+16,""),IF(AND(YEAR(JanSun1+23)=CalendarYear,MONTH(JanSun1+23)=1),JanSun1+23,""))</f>
        <v>46041</v>
      </c>
      <c r="AA6" s="57">
        <f ca="1">IF(DAY(JanSun1)=1,IF(AND(YEAR(JanSun1+17)=CalendarYear,MONTH(JanSun1+17)=1),JanSun1+17,""),IF(AND(YEAR(JanSun1+24)=CalendarYear,MONTH(JanSun1+24)=1),JanSun1+24,""))</f>
        <v>46042</v>
      </c>
      <c r="AB6" s="57">
        <f ca="1">IF(DAY(JanSun1)=1,IF(AND(YEAR(JanSun1+18)=CalendarYear,MONTH(JanSun1+18)=1),JanSun1+18,""),IF(AND(YEAR(JanSun1+25)=CalendarYear,MONTH(JanSun1+25)=1),JanSun1+25,""))</f>
        <v>46043</v>
      </c>
      <c r="AC6" s="57">
        <f ca="1">IF(DAY(JanSun1)=1,IF(AND(YEAR(JanSun1+19)=CalendarYear,MONTH(JanSun1+19)=1),JanSun1+19,""),IF(AND(YEAR(JanSun1+26)=CalendarYear,MONTH(JanSun1+26)=1),JanSun1+26,""))</f>
        <v>46044</v>
      </c>
      <c r="AD6" s="57">
        <f ca="1">IF(DAY(JanSun1)=1,IF(AND(YEAR(JanSun1+20)=CalendarYear,MONTH(JanSun1+20)=1),JanSun1+20,""),IF(AND(YEAR(JanSun1+27)=CalendarYear,MONTH(JanSun1+27)=1),JanSun1+27,""))</f>
        <v>46045</v>
      </c>
      <c r="AE6" s="57">
        <f ca="1">IF(DAY(JanSun1)=1,IF(AND(YEAR(JanSun1+21)=CalendarYear,MONTH(JanSun1+21)=1),JanSun1+21,""),IF(AND(YEAR(JanSun1+28)=CalendarYear,MONTH(JanSun1+28)=1),JanSun1+28,""))</f>
        <v>46046</v>
      </c>
      <c r="AF6" s="57">
        <f ca="1">IF(DAY(JanSun1)=1,IF(AND(YEAR(JanSun1+22)=CalendarYear,MONTH(JanSun1+22)=1),JanSun1+22,""),IF(AND(YEAR(JanSun1+29)=CalendarYear,MONTH(JanSun1+29)=1),JanSun1+29,""))</f>
        <v>46047</v>
      </c>
      <c r="AG6" s="57">
        <f ca="1">IF(DAY(JanSun1)=1,IF(AND(YEAR(JanSun1+23)=CalendarYear,MONTH(JanSun1+23)=1),JanSun1+23,""),IF(AND(YEAR(JanSun1+30)=CalendarYear,MONTH(JanSun1+30)=1),JanSun1+30,""))</f>
        <v>46048</v>
      </c>
      <c r="AH6" s="57">
        <f ca="1">IF(DAY(JanSun1)=1,IF(AND(YEAR(JanSun1+24)=CalendarYear,MONTH(JanSun1+24)=1),JanSun1+24,""),IF(AND(YEAR(JanSun1+31)=CalendarYear,MONTH(JanSun1+31)=1),JanSun1+31,""))</f>
        <v>46049</v>
      </c>
      <c r="AI6" s="9">
        <f ca="1">IF(DAY(JanSun1)=1,IF(AND(YEAR(JanSun1+25)=CalendarYear,MONTH(JanSun1+25)=1),JanSun1+25,""),IF(AND(YEAR(JanSun1+32)=CalendarYear,MONTH(JanSun1+32)=1),JanSun1+32,""))</f>
        <v>46050</v>
      </c>
      <c r="AJ6" s="9">
        <f ca="1">IF(DAY(JanSun1)=1,IF(AND(YEAR(JanSun1+26)=CalendarYear,MONTH(JanSun1+26)=1),JanSun1+26,""),IF(AND(YEAR(JanSun1+33)=CalendarYear,MONTH(JanSun1+33)=1),JanSun1+33,""))</f>
        <v>46051</v>
      </c>
      <c r="AK6" s="9">
        <f ca="1">IF(DAY(JanSun1)=1,IF(AND(YEAR(JanSun1+27)=CalendarYear,MONTH(JanSun1+27)=1),JanSun1+27,""),IF(AND(YEAR(JanSun1+34)=CalendarYear,MONTH(JanSun1+34)=1),JanSun1+34,""))</f>
        <v>46052</v>
      </c>
      <c r="AL6" s="9">
        <f ca="1">IF(DAY(JanSun1)=1,IF(AND(YEAR(JanSun1+28)=CalendarYear,MONTH(JanSun1+28)=1),JanSun1+28,""),IF(AND(YEAR(JanSun1+35)=CalendarYear,MONTH(JanSun1+35)=1),JanSun1+35,""))</f>
        <v>46053</v>
      </c>
      <c r="AM6" s="9" t="str">
        <f ca="1">IF(DAY(JanSun1)=1,IF(AND(YEAR(JanSun1+29)=CalendarYear,MONTH(JanSun1+29)=1),JanSun1+29,""),IF(AND(YEAR(JanSun1+36)=CalendarYear,MONTH(JanSun1+36)=1),JanSun1+36,""))</f>
        <v/>
      </c>
      <c r="AN6" s="11" t="str">
        <f ca="1">IF(DAY(JanSun1)=1,IF(AND(YEAR(JanSun1+30)=CalendarYear,MONTH(JanSun1+30)=1),JanSun1+30,""),IF(AND(YEAR(JanSun1+37)=CalendarYear,MONTH(JanSun1+37)=1),JanSun1+37,""))</f>
        <v/>
      </c>
    </row>
    <row r="7" spans="2:40" s="75" customFormat="1" ht="19.899999999999999" hidden="1" customHeight="1" x14ac:dyDescent="0.3">
      <c r="B7" s="239"/>
      <c r="C7" s="90"/>
      <c r="D7" s="87" t="s">
        <v>9</v>
      </c>
      <c r="E7" s="80" t="s">
        <v>10</v>
      </c>
      <c r="F7" s="80" t="s">
        <v>11</v>
      </c>
      <c r="G7" s="80" t="s">
        <v>12</v>
      </c>
      <c r="H7" s="88" t="s">
        <v>13</v>
      </c>
      <c r="I7" s="87" t="s">
        <v>9</v>
      </c>
      <c r="J7" s="80" t="s">
        <v>10</v>
      </c>
      <c r="K7" s="80" t="s">
        <v>11</v>
      </c>
      <c r="L7" s="80" t="s">
        <v>12</v>
      </c>
      <c r="M7" s="88" t="s">
        <v>13</v>
      </c>
      <c r="N7" s="87" t="s">
        <v>9</v>
      </c>
      <c r="O7" s="80" t="s">
        <v>10</v>
      </c>
      <c r="P7" s="80" t="s">
        <v>11</v>
      </c>
      <c r="Q7" s="80" t="s">
        <v>12</v>
      </c>
      <c r="R7" s="88" t="s">
        <v>13</v>
      </c>
      <c r="S7" s="87" t="s">
        <v>9</v>
      </c>
      <c r="T7" s="80" t="s">
        <v>10</v>
      </c>
      <c r="U7" s="80" t="s">
        <v>11</v>
      </c>
      <c r="V7" s="80" t="s">
        <v>12</v>
      </c>
      <c r="W7" s="88" t="s">
        <v>13</v>
      </c>
      <c r="X7" s="58" t="s">
        <v>14</v>
      </c>
      <c r="Y7" s="58" t="s">
        <v>15</v>
      </c>
      <c r="Z7" s="58" t="s">
        <v>9</v>
      </c>
      <c r="AA7" s="58" t="s">
        <v>10</v>
      </c>
      <c r="AB7" s="58" t="s">
        <v>11</v>
      </c>
      <c r="AC7" s="58" t="s">
        <v>16</v>
      </c>
      <c r="AD7" s="58" t="s">
        <v>13</v>
      </c>
      <c r="AE7" s="58" t="s">
        <v>14</v>
      </c>
      <c r="AF7" s="58" t="s">
        <v>15</v>
      </c>
      <c r="AG7" s="58" t="s">
        <v>9</v>
      </c>
      <c r="AH7" s="58" t="s">
        <v>10</v>
      </c>
      <c r="AI7" s="79" t="s">
        <v>11</v>
      </c>
      <c r="AJ7" s="10" t="s">
        <v>16</v>
      </c>
      <c r="AK7" s="10" t="s">
        <v>13</v>
      </c>
      <c r="AL7" s="10" t="s">
        <v>14</v>
      </c>
      <c r="AM7" s="10" t="s">
        <v>15</v>
      </c>
      <c r="AN7" s="12" t="s">
        <v>9</v>
      </c>
    </row>
    <row r="8" spans="2:40" ht="19.899999999999999" hidden="1" customHeight="1" x14ac:dyDescent="0.3">
      <c r="B8" s="83"/>
      <c r="C8" s="92"/>
      <c r="D8" s="193"/>
      <c r="E8" s="194"/>
      <c r="F8" s="194"/>
      <c r="G8" s="194"/>
      <c r="H8" s="195"/>
      <c r="I8" s="193"/>
      <c r="J8" s="194"/>
      <c r="K8" s="194"/>
      <c r="L8" s="194"/>
      <c r="M8" s="195"/>
      <c r="N8" s="193"/>
      <c r="O8" s="194"/>
      <c r="P8" s="194"/>
      <c r="Q8" s="194"/>
      <c r="R8" s="195"/>
      <c r="S8" s="193"/>
      <c r="T8" s="194"/>
      <c r="U8" s="194"/>
      <c r="V8" s="194"/>
      <c r="W8" s="195"/>
      <c r="X8" s="6" t="str">
        <f t="shared" ref="X8:AN8" ca="1" si="0">IF(OR(NOT(ISNUMBER(X6)),X6&lt;Job1_StartDate),"",IF(MID(Job1_Pattern,MOD(X6-Job1_StartDate,LEN(Job1_Pattern))+1,1)=Job1_Shift1_Code,1,IF(MID(Job1_Pattern,MOD(X6-Job1_StartDate,LEN(Job1_Pattern))+1,1)=Job1_Shift2_Code,2,IF(MID(Job1_Pattern,MOD(X6-Job1_StartDate,LEN(Job1_Pattern))+1,1)=Job1_Shift3_Code,3,""))))</f>
        <v/>
      </c>
      <c r="Y8" s="6" t="str">
        <f t="shared" ca="1" si="0"/>
        <v/>
      </c>
      <c r="Z8" s="6" t="str">
        <f t="shared" ca="1" si="0"/>
        <v/>
      </c>
      <c r="AA8" s="6">
        <f t="shared" ca="1" si="0"/>
        <v>1</v>
      </c>
      <c r="AB8" s="6" t="str">
        <f t="shared" ca="1" si="0"/>
        <v/>
      </c>
      <c r="AC8" s="6" t="str">
        <f t="shared" ca="1" si="0"/>
        <v/>
      </c>
      <c r="AD8" s="6" t="str">
        <f t="shared" ca="1" si="0"/>
        <v/>
      </c>
      <c r="AE8" s="6">
        <f t="shared" ca="1" si="0"/>
        <v>1</v>
      </c>
      <c r="AF8" s="6" t="str">
        <f t="shared" ca="1" si="0"/>
        <v/>
      </c>
      <c r="AG8" s="6" t="str">
        <f t="shared" ca="1" si="0"/>
        <v/>
      </c>
      <c r="AH8" s="6" t="str">
        <f t="shared" ca="1" si="0"/>
        <v/>
      </c>
      <c r="AI8" s="6">
        <f t="shared" ca="1" si="0"/>
        <v>1</v>
      </c>
      <c r="AJ8" s="6" t="str">
        <f t="shared" ca="1" si="0"/>
        <v/>
      </c>
      <c r="AK8" s="6" t="str">
        <f t="shared" ca="1" si="0"/>
        <v/>
      </c>
      <c r="AL8" s="6" t="str">
        <f t="shared" ca="1" si="0"/>
        <v/>
      </c>
      <c r="AM8" s="6" t="str">
        <f t="shared" ca="1" si="0"/>
        <v/>
      </c>
      <c r="AN8" s="6" t="str">
        <f t="shared" ca="1" si="0"/>
        <v/>
      </c>
    </row>
    <row r="9" spans="2:40" ht="19.899999999999999" hidden="1" customHeight="1" x14ac:dyDescent="0.3">
      <c r="B9" s="84"/>
      <c r="C9" s="91"/>
      <c r="D9" s="193"/>
      <c r="E9" s="194"/>
      <c r="F9" s="194"/>
      <c r="G9" s="194"/>
      <c r="H9" s="195"/>
      <c r="I9" s="193"/>
      <c r="J9" s="194"/>
      <c r="K9" s="194"/>
      <c r="L9" s="194"/>
      <c r="M9" s="195"/>
      <c r="N9" s="193"/>
      <c r="O9" s="194"/>
      <c r="P9" s="194"/>
      <c r="Q9" s="194"/>
      <c r="R9" s="195"/>
      <c r="S9" s="193"/>
      <c r="T9" s="194"/>
      <c r="U9" s="194"/>
      <c r="V9" s="194"/>
      <c r="W9" s="195"/>
      <c r="X9" s="7" t="str">
        <f t="shared" ref="X9:AN9" ca="1" si="1">IF(OR(NOT(ISNUMBER(X6)),X6&lt;Job2_StartDate),"",IF(MID(Job2_Pattern,MOD(X6-Job2_StartDate,LEN(Job2_Pattern))+1,1)=Job2_Shift1_Code,1,IF(MID(Job2_Pattern,MOD(X6-Job2_StartDate,LEN(Job2_Pattern))+1,1)=Job2_Shift2_Code,2,IF(MID(Job2_Pattern,MOD(X6-Job2_StartDate,LEN(Job2_Pattern))+1,1)=Job2_Shift3_Code,3,""))))</f>
        <v/>
      </c>
      <c r="Y9" s="7" t="str">
        <f t="shared" ca="1" si="1"/>
        <v/>
      </c>
      <c r="Z9" s="7">
        <f t="shared" ca="1" si="1"/>
        <v>2</v>
      </c>
      <c r="AA9" s="7" t="str">
        <f t="shared" ca="1" si="1"/>
        <v/>
      </c>
      <c r="AB9" s="7" t="str">
        <f t="shared" ca="1" si="1"/>
        <v/>
      </c>
      <c r="AC9" s="7" t="str">
        <f t="shared" ca="1" si="1"/>
        <v/>
      </c>
      <c r="AD9" s="7">
        <f t="shared" ca="1" si="1"/>
        <v>2</v>
      </c>
      <c r="AE9" s="7" t="str">
        <f t="shared" ca="1" si="1"/>
        <v/>
      </c>
      <c r="AF9" s="7" t="str">
        <f t="shared" ca="1" si="1"/>
        <v/>
      </c>
      <c r="AG9" s="7" t="str">
        <f t="shared" ca="1" si="1"/>
        <v/>
      </c>
      <c r="AH9" s="7">
        <f t="shared" ca="1" si="1"/>
        <v>2</v>
      </c>
      <c r="AI9" s="7" t="str">
        <f t="shared" ca="1" si="1"/>
        <v/>
      </c>
      <c r="AJ9" s="7" t="str">
        <f t="shared" ca="1" si="1"/>
        <v/>
      </c>
      <c r="AK9" s="7" t="str">
        <f t="shared" ca="1" si="1"/>
        <v/>
      </c>
      <c r="AL9" s="7">
        <f t="shared" ca="1" si="1"/>
        <v>2</v>
      </c>
      <c r="AM9" s="7" t="str">
        <f t="shared" ca="1" si="1"/>
        <v/>
      </c>
      <c r="AN9" s="7" t="str">
        <f t="shared" ca="1" si="1"/>
        <v/>
      </c>
    </row>
    <row r="10" spans="2:40" ht="19.899999999999999" hidden="1" customHeight="1" x14ac:dyDescent="0.3">
      <c r="B10" s="84"/>
      <c r="C10" s="91"/>
      <c r="D10" s="193"/>
      <c r="E10" s="194"/>
      <c r="F10" s="194"/>
      <c r="G10" s="194"/>
      <c r="H10" s="195"/>
      <c r="I10" s="193"/>
      <c r="J10" s="194"/>
      <c r="K10" s="194"/>
      <c r="L10" s="194"/>
      <c r="M10" s="195"/>
      <c r="N10" s="193"/>
      <c r="O10" s="194"/>
      <c r="P10" s="194"/>
      <c r="Q10" s="194"/>
      <c r="R10" s="195"/>
      <c r="S10" s="193"/>
      <c r="T10" s="194"/>
      <c r="U10" s="194"/>
      <c r="V10" s="194"/>
      <c r="W10" s="195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2:40" ht="19.899999999999999" hidden="1" customHeight="1" x14ac:dyDescent="0.3">
      <c r="B11" s="84"/>
      <c r="C11" s="91"/>
      <c r="D11" s="193"/>
      <c r="E11" s="194"/>
      <c r="F11" s="194"/>
      <c r="G11" s="194"/>
      <c r="H11" s="195"/>
      <c r="I11" s="193"/>
      <c r="J11" s="194"/>
      <c r="K11" s="194"/>
      <c r="L11" s="194"/>
      <c r="M11" s="195"/>
      <c r="N11" s="193"/>
      <c r="O11" s="194"/>
      <c r="P11" s="194"/>
      <c r="Q11" s="194"/>
      <c r="R11" s="195"/>
      <c r="S11" s="193"/>
      <c r="T11" s="194"/>
      <c r="U11" s="194"/>
      <c r="V11" s="194"/>
      <c r="W11" s="195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2:40" ht="19.899999999999999" hidden="1" customHeight="1" x14ac:dyDescent="0.3">
      <c r="B12" s="84"/>
      <c r="C12" s="91"/>
      <c r="D12" s="193"/>
      <c r="E12" s="194"/>
      <c r="F12" s="194"/>
      <c r="G12" s="194"/>
      <c r="H12" s="195"/>
      <c r="I12" s="193"/>
      <c r="J12" s="194"/>
      <c r="K12" s="194"/>
      <c r="L12" s="194"/>
      <c r="M12" s="195"/>
      <c r="N12" s="193"/>
      <c r="O12" s="194"/>
      <c r="P12" s="194"/>
      <c r="Q12" s="194"/>
      <c r="R12" s="195"/>
      <c r="S12" s="193"/>
      <c r="T12" s="194"/>
      <c r="U12" s="194"/>
      <c r="V12" s="194"/>
      <c r="W12" s="195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2:40" ht="19.899999999999999" hidden="1" customHeight="1" x14ac:dyDescent="0.3">
      <c r="B13" s="84"/>
      <c r="C13" s="91"/>
      <c r="D13" s="193"/>
      <c r="E13" s="194"/>
      <c r="F13" s="194"/>
      <c r="G13" s="194"/>
      <c r="H13" s="195"/>
      <c r="I13" s="193"/>
      <c r="J13" s="194"/>
      <c r="K13" s="194"/>
      <c r="L13" s="194"/>
      <c r="M13" s="195"/>
      <c r="N13" s="193"/>
      <c r="O13" s="194"/>
      <c r="P13" s="194"/>
      <c r="Q13" s="194"/>
      <c r="R13" s="195"/>
      <c r="S13" s="193"/>
      <c r="T13" s="194"/>
      <c r="U13" s="194"/>
      <c r="V13" s="194"/>
      <c r="W13" s="195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2:40" ht="19.899999999999999" hidden="1" customHeight="1" x14ac:dyDescent="0.3">
      <c r="B14" s="85"/>
      <c r="C14" s="91"/>
      <c r="D14" s="193"/>
      <c r="E14" s="194"/>
      <c r="F14" s="194"/>
      <c r="G14" s="194"/>
      <c r="H14" s="195"/>
      <c r="I14" s="193"/>
      <c r="J14" s="194"/>
      <c r="K14" s="194"/>
      <c r="L14" s="194"/>
      <c r="M14" s="195"/>
      <c r="N14" s="193"/>
      <c r="O14" s="194"/>
      <c r="P14" s="194"/>
      <c r="Q14" s="194"/>
      <c r="R14" s="195"/>
      <c r="S14" s="193"/>
      <c r="T14" s="194"/>
      <c r="U14" s="194"/>
      <c r="V14" s="194"/>
      <c r="W14" s="195"/>
      <c r="X14" s="7" t="str">
        <f t="shared" ref="X14:AN14" ca="1" si="2">IF(OR(NOT(ISNUMBER(X6)),X6&lt;Job3_StartDate),"",IF(MID(Job3_Pattern,MOD(X6-Job3_StartDate,LEN(Job3_Pattern))+1,1)=Job3_Shift1_Code,1,IF(MID(Job3_Pattern,MOD(X6-Job3_StartDate,LEN(Job3_Pattern))+1,1)=Job3_Shift2_Code,2,IF(MID(Job3_Pattern,MOD(X6-Job3_StartDate,LEN(Job3_Pattern))+1,1)=Job3_Shift3_Code,3,""))))</f>
        <v/>
      </c>
      <c r="Y14" s="7" t="str">
        <f t="shared" ca="1" si="2"/>
        <v/>
      </c>
      <c r="Z14" s="7" t="str">
        <f t="shared" ca="1" si="2"/>
        <v/>
      </c>
      <c r="AA14" s="7">
        <f t="shared" ca="1" si="2"/>
        <v>3</v>
      </c>
      <c r="AB14" s="7" t="str">
        <f t="shared" ca="1" si="2"/>
        <v/>
      </c>
      <c r="AC14" s="7" t="str">
        <f t="shared" ca="1" si="2"/>
        <v/>
      </c>
      <c r="AD14" s="7" t="str">
        <f t="shared" ca="1" si="2"/>
        <v/>
      </c>
      <c r="AE14" s="7">
        <f t="shared" ca="1" si="2"/>
        <v>3</v>
      </c>
      <c r="AF14" s="7" t="str">
        <f t="shared" ca="1" si="2"/>
        <v/>
      </c>
      <c r="AG14" s="7" t="str">
        <f t="shared" ca="1" si="2"/>
        <v/>
      </c>
      <c r="AH14" s="7" t="str">
        <f t="shared" ca="1" si="2"/>
        <v/>
      </c>
      <c r="AI14" s="7">
        <f t="shared" ca="1" si="2"/>
        <v>3</v>
      </c>
      <c r="AJ14" s="7" t="str">
        <f t="shared" ca="1" si="2"/>
        <v/>
      </c>
      <c r="AK14" s="7" t="str">
        <f t="shared" ca="1" si="2"/>
        <v/>
      </c>
      <c r="AL14" s="7" t="str">
        <f t="shared" ca="1" si="2"/>
        <v/>
      </c>
      <c r="AM14" s="7" t="str">
        <f t="shared" ca="1" si="2"/>
        <v/>
      </c>
      <c r="AN14" s="7" t="str">
        <f t="shared" ca="1" si="2"/>
        <v/>
      </c>
    </row>
    <row r="15" spans="2:40" ht="19.899999999999999" customHeight="1" thickBot="1" x14ac:dyDescent="0.35">
      <c r="B15" s="74"/>
      <c r="C15" s="74"/>
    </row>
    <row r="16" spans="2:40" s="76" customFormat="1" ht="19.899999999999999" customHeight="1" x14ac:dyDescent="0.3">
      <c r="B16" s="240">
        <f ca="1">DATE(CalendarYear,2,1)</f>
        <v>46054</v>
      </c>
      <c r="C16" s="228" t="s">
        <v>17</v>
      </c>
      <c r="D16" s="213" t="s">
        <v>5</v>
      </c>
      <c r="E16" s="214"/>
      <c r="F16" s="214"/>
      <c r="G16" s="214"/>
      <c r="H16" s="215"/>
      <c r="I16" s="213" t="s">
        <v>6</v>
      </c>
      <c r="J16" s="214"/>
      <c r="K16" s="214"/>
      <c r="L16" s="214"/>
      <c r="M16" s="215"/>
      <c r="N16" s="213" t="s">
        <v>7</v>
      </c>
      <c r="O16" s="214"/>
      <c r="P16" s="214"/>
      <c r="Q16" s="214"/>
      <c r="R16" s="215"/>
      <c r="S16" s="213" t="s">
        <v>8</v>
      </c>
      <c r="T16" s="214"/>
      <c r="U16" s="214"/>
      <c r="V16" s="214"/>
      <c r="W16" s="215"/>
      <c r="X16" s="89"/>
      <c r="Y16" s="9"/>
      <c r="Z16" s="9"/>
      <c r="AA16" s="9"/>
      <c r="AB16" s="9"/>
      <c r="AC16" s="9"/>
      <c r="AD16" s="9"/>
      <c r="AE16" s="9"/>
      <c r="AF16" s="9" t="str">
        <f ca="1">IF(DAY(FebSun1)=1,IF(AND(YEAR(FebSun1+22)=CalendarYear,MONTH(FebSun1+22)=2),FebSun1+22,""),IF(AND(YEAR(FebSun1+29)=CalendarYear,MONTH(FebSun1+29)=2),FebSun1+29,""))</f>
        <v/>
      </c>
      <c r="AG16" s="9" t="str">
        <f ca="1">IF(DAY(FebSun1)=1,IF(AND(YEAR(FebSun1+23)=CalendarYear,MONTH(FebSun1+23)=2),FebSun1+23,""),IF(AND(YEAR(FebSun1+30)=CalendarYear,MONTH(FebSun1+30)=2),FebSun1+30,""))</f>
        <v/>
      </c>
      <c r="AH16" s="9" t="str">
        <f ca="1">IF(DAY(FebSun1)=1,IF(AND(YEAR(FebSun1+24)=CalendarYear,MONTH(FebSun1+24)=2),FebSun1+24,""),IF(AND(YEAR(FebSun1+31)=CalendarYear,MONTH(FebSun1+31)=2),FebSun1+31,""))</f>
        <v/>
      </c>
      <c r="AI16" s="9" t="str">
        <f ca="1">IF(DAY(FebSun1)=1,IF(AND(YEAR(FebSun1+25)=CalendarYear,MONTH(FebSun1+25)=2),FebSun1+25,""),IF(AND(YEAR(FebSun1+32)=CalendarYear,MONTH(FebSun1+32)=2),FebSun1+32,""))</f>
        <v/>
      </c>
      <c r="AJ16" s="9" t="str">
        <f ca="1">IF(DAY(FebSun1)=1,IF(AND(YEAR(FebSun1+26)=CalendarYear,MONTH(FebSun1+26)=2),FebSun1+26,""),IF(AND(YEAR(FebSun1+33)=CalendarYear,MONTH(FebSun1+33)=2),FebSun1+33,""))</f>
        <v/>
      </c>
      <c r="AK16" s="9" t="str">
        <f ca="1">IF(DAY(FebSun1)=1,IF(AND(YEAR(FebSun1+27)=CalendarYear,MONTH(FebSun1+27)=2),FebSun1+27,""),IF(AND(YEAR(FebSun1+34)=CalendarYear,MONTH(FebSun1+34)=2),FebSun1+34,""))</f>
        <v/>
      </c>
      <c r="AL16" s="9" t="str">
        <f ca="1">IF(DAY(FebSun1)=1,IF(AND(YEAR(FebSun1+28)=CalendarYear,MONTH(FebSun1+28)=2),FebSun1+28,""),IF(AND(YEAR(FebSun1+35)=CalendarYear,MONTH(FebSun1+35)=2),FebSun1+35,""))</f>
        <v/>
      </c>
      <c r="AM16" s="9" t="str">
        <f ca="1">IF(DAY(FebSun1)=1,IF(AND(YEAR(FebSun1+29)=CalendarYear,MONTH(FebSun1+29)=2),FebSun1+29,""),IF(AND(YEAR(FebSun1+36)=CalendarYear,MONTH(FebSun1+36)=2),FebSun1+36,""))</f>
        <v/>
      </c>
      <c r="AN16" s="11" t="str">
        <f ca="1">IF(DAY(FebSun1)=1,IF(AND(YEAR(FebSun1+30)=CalendarYear,MONTH(FebSun1+30)=2),FebSun1+30,""),IF(AND(YEAR(FebSun1+37)=CalendarYear,MONTH(FebSun1+37)=2),FebSun1+37,""))</f>
        <v/>
      </c>
    </row>
    <row r="17" spans="2:40" s="76" customFormat="1" ht="19.899999999999999" customHeight="1" x14ac:dyDescent="0.3">
      <c r="B17" s="239"/>
      <c r="C17" s="228"/>
      <c r="D17" s="87" t="s">
        <v>9</v>
      </c>
      <c r="E17" s="80" t="s">
        <v>10</v>
      </c>
      <c r="F17" s="80" t="s">
        <v>11</v>
      </c>
      <c r="G17" s="80" t="s">
        <v>12</v>
      </c>
      <c r="H17" s="88" t="s">
        <v>13</v>
      </c>
      <c r="I17" s="298" t="s">
        <v>18</v>
      </c>
      <c r="J17" s="299"/>
      <c r="K17" s="299"/>
      <c r="L17" s="299"/>
      <c r="M17" s="300"/>
      <c r="N17" s="298" t="s">
        <v>19</v>
      </c>
      <c r="O17" s="299"/>
      <c r="P17" s="299"/>
      <c r="Q17" s="299"/>
      <c r="R17" s="300"/>
      <c r="S17" s="298" t="s">
        <v>20</v>
      </c>
      <c r="T17" s="299"/>
      <c r="U17" s="299"/>
      <c r="V17" s="299"/>
      <c r="W17" s="300"/>
      <c r="X17" s="79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2"/>
    </row>
    <row r="18" spans="2:40" ht="19.899999999999999" customHeight="1" x14ac:dyDescent="0.3">
      <c r="B18" s="83" t="s">
        <v>21</v>
      </c>
      <c r="C18" s="92" t="s">
        <v>22</v>
      </c>
      <c r="D18" s="193">
        <v>91.7</v>
      </c>
      <c r="E18" s="194"/>
      <c r="F18" s="194"/>
      <c r="G18" s="194"/>
      <c r="H18" s="195"/>
      <c r="I18" s="193">
        <v>86.4</v>
      </c>
      <c r="J18" s="194"/>
      <c r="K18" s="194"/>
      <c r="L18" s="194"/>
      <c r="M18" s="195"/>
      <c r="N18" s="193">
        <v>95.5</v>
      </c>
      <c r="O18" s="194"/>
      <c r="P18" s="194"/>
      <c r="Q18" s="194"/>
      <c r="R18" s="195"/>
      <c r="S18" s="193">
        <v>87.1</v>
      </c>
      <c r="T18" s="194"/>
      <c r="U18" s="194"/>
      <c r="V18" s="194"/>
      <c r="W18" s="195"/>
      <c r="X18" s="8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2:40" ht="19.899999999999999" customHeight="1" x14ac:dyDescent="0.3">
      <c r="B19" s="84" t="s">
        <v>23</v>
      </c>
      <c r="C19" s="91" t="s">
        <v>24</v>
      </c>
      <c r="D19" s="193">
        <v>100</v>
      </c>
      <c r="E19" s="194"/>
      <c r="F19" s="194"/>
      <c r="G19" s="194"/>
      <c r="H19" s="195"/>
      <c r="I19" s="193">
        <v>100</v>
      </c>
      <c r="J19" s="194"/>
      <c r="K19" s="194"/>
      <c r="L19" s="194"/>
      <c r="M19" s="195"/>
      <c r="N19" s="193">
        <v>75</v>
      </c>
      <c r="O19" s="194"/>
      <c r="P19" s="194"/>
      <c r="Q19" s="194"/>
      <c r="R19" s="195"/>
      <c r="S19" s="193">
        <v>86.26</v>
      </c>
      <c r="T19" s="194"/>
      <c r="U19" s="194"/>
      <c r="V19" s="194"/>
      <c r="W19" s="195"/>
      <c r="X19" s="81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2:40" ht="19.899999999999999" customHeight="1" x14ac:dyDescent="0.3">
      <c r="B20" s="84" t="s">
        <v>25</v>
      </c>
      <c r="C20" s="91" t="s">
        <v>26</v>
      </c>
      <c r="D20" s="193">
        <v>96.4</v>
      </c>
      <c r="E20" s="194"/>
      <c r="F20" s="194"/>
      <c r="G20" s="194"/>
      <c r="H20" s="195"/>
      <c r="I20" s="193">
        <v>93.9</v>
      </c>
      <c r="J20" s="194"/>
      <c r="K20" s="194"/>
      <c r="L20" s="194"/>
      <c r="M20" s="195"/>
      <c r="N20" s="193">
        <v>95.5</v>
      </c>
      <c r="O20" s="194"/>
      <c r="P20" s="194"/>
      <c r="Q20" s="194"/>
      <c r="R20" s="195"/>
      <c r="S20" s="193">
        <v>86.4</v>
      </c>
      <c r="T20" s="194"/>
      <c r="U20" s="194"/>
      <c r="V20" s="194"/>
      <c r="W20" s="195"/>
      <c r="X20" s="81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2:40" ht="19.899999999999999" customHeight="1" x14ac:dyDescent="0.3">
      <c r="B21" s="84" t="s">
        <v>27</v>
      </c>
      <c r="C21" s="91" t="s">
        <v>28</v>
      </c>
      <c r="D21" s="193">
        <v>81.400000000000006</v>
      </c>
      <c r="E21" s="194"/>
      <c r="F21" s="194"/>
      <c r="G21" s="194"/>
      <c r="H21" s="195"/>
      <c r="I21" s="193">
        <v>75</v>
      </c>
      <c r="J21" s="194"/>
      <c r="K21" s="194"/>
      <c r="L21" s="194"/>
      <c r="M21" s="195"/>
      <c r="N21" s="193">
        <v>87.5</v>
      </c>
      <c r="O21" s="194"/>
      <c r="P21" s="194"/>
      <c r="Q21" s="194"/>
      <c r="R21" s="195"/>
      <c r="S21" s="193">
        <v>79.2</v>
      </c>
      <c r="T21" s="194"/>
      <c r="U21" s="194"/>
      <c r="V21" s="194"/>
      <c r="W21" s="195"/>
      <c r="X21" s="81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2:40" ht="19.899999999999999" customHeight="1" x14ac:dyDescent="0.3">
      <c r="B22" s="84" t="s">
        <v>29</v>
      </c>
      <c r="C22" s="91" t="s">
        <v>30</v>
      </c>
      <c r="D22" s="193"/>
      <c r="E22" s="194"/>
      <c r="F22" s="194"/>
      <c r="G22" s="194"/>
      <c r="H22" s="195"/>
      <c r="I22" s="193"/>
      <c r="J22" s="194"/>
      <c r="K22" s="194"/>
      <c r="L22" s="194"/>
      <c r="M22" s="195"/>
      <c r="N22" s="193"/>
      <c r="O22" s="194"/>
      <c r="P22" s="194"/>
      <c r="Q22" s="194"/>
      <c r="R22" s="195"/>
      <c r="S22" s="193"/>
      <c r="T22" s="194"/>
      <c r="U22" s="194"/>
      <c r="V22" s="194"/>
      <c r="W22" s="195"/>
      <c r="X22" s="81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2:40" ht="19.899999999999999" customHeight="1" x14ac:dyDescent="0.3">
      <c r="B23" s="84" t="s">
        <v>31</v>
      </c>
      <c r="C23" s="91" t="s">
        <v>30</v>
      </c>
      <c r="D23" s="193"/>
      <c r="E23" s="194"/>
      <c r="F23" s="194"/>
      <c r="G23" s="194"/>
      <c r="H23" s="195"/>
      <c r="I23" s="193"/>
      <c r="J23" s="194"/>
      <c r="K23" s="194"/>
      <c r="L23" s="194"/>
      <c r="M23" s="195"/>
      <c r="N23" s="193"/>
      <c r="O23" s="194"/>
      <c r="P23" s="194"/>
      <c r="Q23" s="194"/>
      <c r="R23" s="195"/>
      <c r="S23" s="193"/>
      <c r="T23" s="194"/>
      <c r="U23" s="194"/>
      <c r="V23" s="194"/>
      <c r="W23" s="195"/>
      <c r="X23" s="81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 ht="19.899999999999999" customHeight="1" x14ac:dyDescent="0.3">
      <c r="B24" s="85" t="s">
        <v>32</v>
      </c>
      <c r="C24" s="91" t="s">
        <v>30</v>
      </c>
      <c r="D24" s="193"/>
      <c r="E24" s="194"/>
      <c r="F24" s="194"/>
      <c r="G24" s="194"/>
      <c r="H24" s="195"/>
      <c r="I24" s="193"/>
      <c r="J24" s="194"/>
      <c r="K24" s="194"/>
      <c r="L24" s="194"/>
      <c r="M24" s="195"/>
      <c r="N24" s="193"/>
      <c r="O24" s="194"/>
      <c r="P24" s="194"/>
      <c r="Q24" s="194"/>
      <c r="R24" s="195"/>
      <c r="S24" s="193"/>
      <c r="T24" s="194"/>
      <c r="U24" s="194"/>
      <c r="V24" s="194"/>
      <c r="W24" s="195"/>
      <c r="X24" s="81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2:40" ht="19.899999999999999" customHeight="1" thickBot="1" x14ac:dyDescent="0.35">
      <c r="B25" s="74"/>
      <c r="C25" s="74"/>
    </row>
    <row r="26" spans="2:40" s="76" customFormat="1" ht="19.899999999999999" customHeight="1" x14ac:dyDescent="0.3">
      <c r="B26" s="240">
        <v>46082</v>
      </c>
      <c r="C26" s="228" t="s">
        <v>17</v>
      </c>
      <c r="D26" s="213" t="s">
        <v>5</v>
      </c>
      <c r="E26" s="214"/>
      <c r="F26" s="214"/>
      <c r="G26" s="214"/>
      <c r="H26" s="215"/>
      <c r="I26" s="213" t="s">
        <v>6</v>
      </c>
      <c r="J26" s="214"/>
      <c r="K26" s="214"/>
      <c r="L26" s="214"/>
      <c r="M26" s="215"/>
      <c r="N26" s="213" t="s">
        <v>7</v>
      </c>
      <c r="O26" s="214"/>
      <c r="P26" s="214"/>
      <c r="Q26" s="214"/>
      <c r="R26" s="215"/>
      <c r="S26" s="213" t="s">
        <v>8</v>
      </c>
      <c r="T26" s="214"/>
      <c r="U26" s="214"/>
      <c r="V26" s="214"/>
      <c r="W26" s="215"/>
      <c r="X26" s="89"/>
      <c r="Y26" s="9"/>
      <c r="Z26" s="9"/>
      <c r="AA26" s="9"/>
      <c r="AB26" s="9"/>
      <c r="AC26" s="9"/>
      <c r="AD26" s="9"/>
      <c r="AE26" s="9"/>
      <c r="AF26" s="9" t="str">
        <f ca="1">IF(DAY(FebSun1)=1,IF(AND(YEAR(FebSun1+22)=CalendarYear,MONTH(FebSun1+22)=2),FebSun1+22,""),IF(AND(YEAR(FebSun1+29)=CalendarYear,MONTH(FebSun1+29)=2),FebSun1+29,""))</f>
        <v/>
      </c>
      <c r="AG26" s="9" t="str">
        <f ca="1">IF(DAY(FebSun1)=1,IF(AND(YEAR(FebSun1+23)=CalendarYear,MONTH(FebSun1+23)=2),FebSun1+23,""),IF(AND(YEAR(FebSun1+30)=CalendarYear,MONTH(FebSun1+30)=2),FebSun1+30,""))</f>
        <v/>
      </c>
      <c r="AH26" s="9" t="str">
        <f ca="1">IF(DAY(FebSun1)=1,IF(AND(YEAR(FebSun1+24)=CalendarYear,MONTH(FebSun1+24)=2),FebSun1+24,""),IF(AND(YEAR(FebSun1+31)=CalendarYear,MONTH(FebSun1+31)=2),FebSun1+31,""))</f>
        <v/>
      </c>
      <c r="AI26" s="9" t="str">
        <f ca="1">IF(DAY(FebSun1)=1,IF(AND(YEAR(FebSun1+25)=CalendarYear,MONTH(FebSun1+25)=2),FebSun1+25,""),IF(AND(YEAR(FebSun1+32)=CalendarYear,MONTH(FebSun1+32)=2),FebSun1+32,""))</f>
        <v/>
      </c>
      <c r="AJ26" s="9" t="str">
        <f ca="1">IF(DAY(FebSun1)=1,IF(AND(YEAR(FebSun1+26)=CalendarYear,MONTH(FebSun1+26)=2),FebSun1+26,""),IF(AND(YEAR(FebSun1+33)=CalendarYear,MONTH(FebSun1+33)=2),FebSun1+33,""))</f>
        <v/>
      </c>
      <c r="AK26" s="9" t="str">
        <f ca="1">IF(DAY(FebSun1)=1,IF(AND(YEAR(FebSun1+27)=CalendarYear,MONTH(FebSun1+27)=2),FebSun1+27,""),IF(AND(YEAR(FebSun1+34)=CalendarYear,MONTH(FebSun1+34)=2),FebSun1+34,""))</f>
        <v/>
      </c>
      <c r="AL26" s="9" t="str">
        <f ca="1">IF(DAY(FebSun1)=1,IF(AND(YEAR(FebSun1+28)=CalendarYear,MONTH(FebSun1+28)=2),FebSun1+28,""),IF(AND(YEAR(FebSun1+35)=CalendarYear,MONTH(FebSun1+35)=2),FebSun1+35,""))</f>
        <v/>
      </c>
      <c r="AM26" s="9" t="str">
        <f ca="1">IF(DAY(FebSun1)=1,IF(AND(YEAR(FebSun1+29)=CalendarYear,MONTH(FebSun1+29)=2),FebSun1+29,""),IF(AND(YEAR(FebSun1+36)=CalendarYear,MONTH(FebSun1+36)=2),FebSun1+36,""))</f>
        <v/>
      </c>
      <c r="AN26" s="11" t="str">
        <f ca="1">IF(DAY(FebSun1)=1,IF(AND(YEAR(FebSun1+30)=CalendarYear,MONTH(FebSun1+30)=2),FebSun1+30,""),IF(AND(YEAR(FebSun1+37)=CalendarYear,MONTH(FebSun1+37)=2),FebSun1+37,""))</f>
        <v/>
      </c>
    </row>
    <row r="27" spans="2:40" s="76" customFormat="1" ht="19.899999999999999" customHeight="1" x14ac:dyDescent="0.3">
      <c r="B27" s="239"/>
      <c r="C27" s="228"/>
      <c r="D27" s="298" t="s">
        <v>33</v>
      </c>
      <c r="E27" s="299"/>
      <c r="F27" s="299"/>
      <c r="G27" s="299"/>
      <c r="H27" s="300"/>
      <c r="I27" s="298" t="s">
        <v>34</v>
      </c>
      <c r="J27" s="299"/>
      <c r="K27" s="299"/>
      <c r="L27" s="299"/>
      <c r="M27" s="300"/>
      <c r="N27" s="298" t="s">
        <v>35</v>
      </c>
      <c r="O27" s="299"/>
      <c r="P27" s="299"/>
      <c r="Q27" s="299"/>
      <c r="R27" s="300"/>
      <c r="S27" s="298" t="s">
        <v>36</v>
      </c>
      <c r="T27" s="299"/>
      <c r="U27" s="299"/>
      <c r="V27" s="299"/>
      <c r="W27" s="300"/>
      <c r="X27" s="79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2"/>
    </row>
    <row r="28" spans="2:40" ht="19.899999999999999" customHeight="1" x14ac:dyDescent="0.3">
      <c r="B28" s="83" t="s">
        <v>21</v>
      </c>
      <c r="C28" s="92" t="s">
        <v>22</v>
      </c>
      <c r="D28" s="193">
        <v>77.3</v>
      </c>
      <c r="E28" s="194"/>
      <c r="F28" s="194"/>
      <c r="G28" s="194"/>
      <c r="H28" s="195"/>
      <c r="I28" s="193">
        <v>92</v>
      </c>
      <c r="J28" s="194"/>
      <c r="K28" s="194"/>
      <c r="L28" s="194"/>
      <c r="M28" s="195"/>
      <c r="N28" s="193">
        <v>92</v>
      </c>
      <c r="O28" s="194"/>
      <c r="P28" s="194"/>
      <c r="Q28" s="194"/>
      <c r="R28" s="195"/>
      <c r="S28" s="193">
        <v>86</v>
      </c>
      <c r="T28" s="194"/>
      <c r="U28" s="194"/>
      <c r="V28" s="194"/>
      <c r="W28" s="195"/>
      <c r="X28" s="133" cm="1">
        <f t="array" ref="X28">SUM(1*(D28:W28)/4)</f>
        <v>86.825000000000003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2:40" ht="19.899999999999999" customHeight="1" x14ac:dyDescent="0.3">
      <c r="B29" s="84" t="s">
        <v>23</v>
      </c>
      <c r="C29" s="91" t="s">
        <v>24</v>
      </c>
      <c r="D29" s="193">
        <v>63.2</v>
      </c>
      <c r="E29" s="194"/>
      <c r="F29" s="194"/>
      <c r="G29" s="194"/>
      <c r="H29" s="195"/>
      <c r="I29" s="193">
        <v>77</v>
      </c>
      <c r="J29" s="194"/>
      <c r="K29" s="194"/>
      <c r="L29" s="194"/>
      <c r="M29" s="195"/>
      <c r="N29" s="193">
        <v>81</v>
      </c>
      <c r="O29" s="194"/>
      <c r="P29" s="194"/>
      <c r="Q29" s="194"/>
      <c r="R29" s="195"/>
      <c r="S29" s="193">
        <v>94</v>
      </c>
      <c r="T29" s="194"/>
      <c r="U29" s="194"/>
      <c r="V29" s="194"/>
      <c r="W29" s="195"/>
      <c r="X29" s="133" cm="1">
        <f t="array" ref="X29">SUM(1*(D29:W29)/4)</f>
        <v>78.8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2:40" ht="19.899999999999999" customHeight="1" x14ac:dyDescent="0.3">
      <c r="B30" s="84" t="s">
        <v>25</v>
      </c>
      <c r="C30" s="91" t="s">
        <v>26</v>
      </c>
      <c r="D30" s="193">
        <v>100</v>
      </c>
      <c r="E30" s="194"/>
      <c r="F30" s="194"/>
      <c r="G30" s="194"/>
      <c r="H30" s="195"/>
      <c r="I30" s="193">
        <v>89</v>
      </c>
      <c r="J30" s="194"/>
      <c r="K30" s="194"/>
      <c r="L30" s="194"/>
      <c r="M30" s="195"/>
      <c r="N30" s="193">
        <v>95</v>
      </c>
      <c r="O30" s="194"/>
      <c r="P30" s="194"/>
      <c r="Q30" s="194"/>
      <c r="R30" s="195"/>
      <c r="S30" s="193">
        <v>50</v>
      </c>
      <c r="T30" s="194"/>
      <c r="U30" s="194"/>
      <c r="V30" s="194"/>
      <c r="W30" s="195"/>
      <c r="X30" s="133" cm="1">
        <f t="array" ref="X30">SUM(1*(D30:W30)/4)</f>
        <v>83.5</v>
      </c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2:40" ht="19.899999999999999" customHeight="1" x14ac:dyDescent="0.3">
      <c r="B31" s="84" t="s">
        <v>27</v>
      </c>
      <c r="C31" s="91" t="s">
        <v>28</v>
      </c>
      <c r="D31" s="193">
        <v>66.7</v>
      </c>
      <c r="E31" s="194"/>
      <c r="F31" s="194"/>
      <c r="G31" s="194"/>
      <c r="H31" s="195"/>
      <c r="I31" s="193">
        <v>78.900000000000006</v>
      </c>
      <c r="J31" s="194"/>
      <c r="K31" s="194"/>
      <c r="L31" s="194"/>
      <c r="M31" s="195"/>
      <c r="N31" s="193">
        <v>68.400000000000006</v>
      </c>
      <c r="O31" s="194"/>
      <c r="P31" s="194"/>
      <c r="Q31" s="194"/>
      <c r="R31" s="195"/>
      <c r="S31" s="193">
        <v>78</v>
      </c>
      <c r="T31" s="194"/>
      <c r="U31" s="194"/>
      <c r="V31" s="194"/>
      <c r="W31" s="195"/>
      <c r="X31" s="133" cm="1">
        <f t="array" ref="X31">SUM(1*(D31:W31)/4)</f>
        <v>73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2:40" ht="19.899999999999999" customHeight="1" x14ac:dyDescent="0.3">
      <c r="B32" s="84" t="s">
        <v>29</v>
      </c>
      <c r="C32" s="91" t="s">
        <v>30</v>
      </c>
      <c r="D32" s="193">
        <v>95</v>
      </c>
      <c r="E32" s="194"/>
      <c r="F32" s="194"/>
      <c r="G32" s="194"/>
      <c r="H32" s="195"/>
      <c r="I32" s="193">
        <v>0</v>
      </c>
      <c r="J32" s="194"/>
      <c r="K32" s="194"/>
      <c r="L32" s="194"/>
      <c r="M32" s="195"/>
      <c r="N32" s="193">
        <v>91</v>
      </c>
      <c r="O32" s="194"/>
      <c r="P32" s="194"/>
      <c r="Q32" s="194"/>
      <c r="R32" s="195"/>
      <c r="S32" s="193">
        <v>96</v>
      </c>
      <c r="T32" s="194"/>
      <c r="U32" s="194"/>
      <c r="V32" s="194"/>
      <c r="W32" s="195"/>
      <c r="X32" s="133" cm="1">
        <f t="array" ref="X32">SUM(1*(D32:W32)/4)</f>
        <v>70.5</v>
      </c>
      <c r="Y32" s="7"/>
      <c r="Z32" s="294" t="s">
        <v>37</v>
      </c>
      <c r="AA32" s="290"/>
      <c r="AB32" s="290"/>
      <c r="AC32" s="290"/>
      <c r="AD32" s="290"/>
      <c r="AE32" s="290"/>
      <c r="AF32" s="290"/>
      <c r="AG32" s="290"/>
      <c r="AH32" s="290"/>
      <c r="AI32" s="291"/>
      <c r="AJ32" s="7"/>
      <c r="AK32" s="7"/>
      <c r="AL32" s="7"/>
      <c r="AM32" s="7"/>
      <c r="AN32" s="7"/>
    </row>
    <row r="33" spans="2:40" ht="19.899999999999999" customHeight="1" x14ac:dyDescent="0.3">
      <c r="B33" s="84" t="s">
        <v>31</v>
      </c>
      <c r="C33" s="91"/>
      <c r="D33" s="193"/>
      <c r="E33" s="194"/>
      <c r="F33" s="194"/>
      <c r="G33" s="194"/>
      <c r="H33" s="195"/>
      <c r="I33" s="193"/>
      <c r="J33" s="194"/>
      <c r="K33" s="194"/>
      <c r="L33" s="194"/>
      <c r="M33" s="195"/>
      <c r="N33" s="193"/>
      <c r="O33" s="194"/>
      <c r="P33" s="194"/>
      <c r="Q33" s="194"/>
      <c r="R33" s="195"/>
      <c r="S33" s="193"/>
      <c r="T33" s="194"/>
      <c r="U33" s="194"/>
      <c r="V33" s="194"/>
      <c r="W33" s="195"/>
      <c r="X33" s="81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2:40" ht="19.899999999999999" customHeight="1" x14ac:dyDescent="0.3">
      <c r="B34" s="85" t="s">
        <v>32</v>
      </c>
      <c r="C34" s="91"/>
      <c r="D34" s="193"/>
      <c r="E34" s="194"/>
      <c r="F34" s="194"/>
      <c r="G34" s="194"/>
      <c r="H34" s="195"/>
      <c r="I34" s="193"/>
      <c r="J34" s="194"/>
      <c r="K34" s="194"/>
      <c r="L34" s="194"/>
      <c r="M34" s="195"/>
      <c r="N34" s="193"/>
      <c r="O34" s="194"/>
      <c r="P34" s="194"/>
      <c r="Q34" s="194"/>
      <c r="R34" s="195"/>
      <c r="S34" s="193"/>
      <c r="T34" s="194"/>
      <c r="U34" s="194"/>
      <c r="V34" s="194"/>
      <c r="W34" s="195"/>
      <c r="X34" s="81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2:40" ht="19.899999999999999" customHeight="1" x14ac:dyDescent="0.3">
      <c r="B35" s="125" t="s">
        <v>38</v>
      </c>
      <c r="C35" s="126"/>
      <c r="D35" s="17"/>
      <c r="E35" s="17"/>
      <c r="F35" s="17"/>
      <c r="G35" s="17"/>
      <c r="H35" s="17"/>
      <c r="I35" s="295">
        <v>100</v>
      </c>
      <c r="J35" s="295"/>
      <c r="K35" s="295"/>
      <c r="L35" s="295"/>
      <c r="M35" s="295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spans="2:40" ht="19.899999999999999" customHeight="1" thickBot="1" x14ac:dyDescent="0.35">
      <c r="B36" s="74"/>
      <c r="C36" s="74"/>
    </row>
    <row r="37" spans="2:40" s="75" customFormat="1" ht="19.899999999999999" customHeight="1" x14ac:dyDescent="0.3">
      <c r="B37" s="211">
        <f ca="1">DATE(CalendarYear,4,1)</f>
        <v>46113</v>
      </c>
      <c r="C37" s="296" t="s">
        <v>17</v>
      </c>
      <c r="D37" s="213" t="s">
        <v>5</v>
      </c>
      <c r="E37" s="214"/>
      <c r="F37" s="214"/>
      <c r="G37" s="214"/>
      <c r="H37" s="215"/>
      <c r="I37" s="213" t="s">
        <v>6</v>
      </c>
      <c r="J37" s="214"/>
      <c r="K37" s="214"/>
      <c r="L37" s="214"/>
      <c r="M37" s="215"/>
      <c r="N37" s="213" t="s">
        <v>7</v>
      </c>
      <c r="O37" s="214"/>
      <c r="P37" s="214"/>
      <c r="Q37" s="214"/>
      <c r="R37" s="215"/>
      <c r="S37" s="213" t="s">
        <v>8</v>
      </c>
      <c r="T37" s="214"/>
      <c r="U37" s="214"/>
      <c r="V37" s="214"/>
      <c r="W37" s="215"/>
      <c r="X37" s="213" t="s">
        <v>39</v>
      </c>
      <c r="Y37" s="214"/>
      <c r="Z37" s="214"/>
      <c r="AA37" s="214"/>
      <c r="AB37" s="215"/>
      <c r="AC37" s="9">
        <f ca="1">IF(DAY(AprSun1)=1,IF(AND(YEAR(AprSun1+19)=CalendarYear,MONTH(AprSun1+19)=4),AprSun1+19,""),IF(AND(YEAR(AprSun1+26)=CalendarYear,MONTH(AprSun1+26)=4),AprSun1+26,""))</f>
        <v>46135</v>
      </c>
      <c r="AD37" s="9">
        <f ca="1">IF(DAY(AprSun1)=1,IF(AND(YEAR(AprSun1+20)=CalendarYear,MONTH(AprSun1+20)=4),AprSun1+20,""),IF(AND(YEAR(AprSun1+27)=CalendarYear,MONTH(AprSun1+27)=4),AprSun1+27,""))</f>
        <v>46136</v>
      </c>
      <c r="AE37" s="9">
        <f ca="1">IF(DAY(AprSun1)=1,IF(AND(YEAR(AprSun1+21)=CalendarYear,MONTH(AprSun1+21)=4),AprSun1+21,""),IF(AND(YEAR(AprSun1+28)=CalendarYear,MONTH(AprSun1+28)=4),AprSun1+28,""))</f>
        <v>46137</v>
      </c>
      <c r="AF37" s="9">
        <f ca="1">IF(DAY(AprSun1)=1,IF(AND(YEAR(AprSun1+22)=CalendarYear,MONTH(AprSun1+22)=4),AprSun1+22,""),IF(AND(YEAR(AprSun1+29)=CalendarYear,MONTH(AprSun1+29)=4),AprSun1+29,""))</f>
        <v>46138</v>
      </c>
      <c r="AG37" s="9">
        <f ca="1">IF(DAY(AprSun1)=1,IF(AND(YEAR(AprSun1+23)=CalendarYear,MONTH(AprSun1+23)=4),AprSun1+23,""),IF(AND(YEAR(AprSun1+30)=CalendarYear,MONTH(AprSun1+30)=4),AprSun1+30,""))</f>
        <v>46139</v>
      </c>
      <c r="AH37" s="9">
        <f ca="1">IF(DAY(AprSun1)=1,IF(AND(YEAR(AprSun1+24)=CalendarYear,MONTH(AprSun1+24)=4),AprSun1+24,""),IF(AND(YEAR(AprSun1+31)=CalendarYear,MONTH(AprSun1+31)=4),AprSun1+31,""))</f>
        <v>46140</v>
      </c>
      <c r="AI37" s="9">
        <f ca="1">IF(DAY(AprSun1)=1,IF(AND(YEAR(AprSun1+25)=CalendarYear,MONTH(AprSun1+25)=4),AprSun1+25,""),IF(AND(YEAR(AprSun1+32)=CalendarYear,MONTH(AprSun1+32)=4),AprSun1+32,""))</f>
        <v>46141</v>
      </c>
      <c r="AJ37" s="9">
        <f ca="1">IF(DAY(AprSun1)=1,IF(AND(YEAR(AprSun1+26)=CalendarYear,MONTH(AprSun1+26)=4),AprSun1+26,""),IF(AND(YEAR(AprSun1+33)=CalendarYear,MONTH(AprSun1+33)=4),AprSun1+33,""))</f>
        <v>46142</v>
      </c>
      <c r="AK37" s="9" t="str">
        <f ca="1">IF(DAY(AprSun1)=1,IF(AND(YEAR(AprSun1+27)=CalendarYear,MONTH(AprSun1+27)=4),AprSun1+27,""),IF(AND(YEAR(AprSun1+34)=CalendarYear,MONTH(AprSun1+34)=4),AprSun1+34,""))</f>
        <v/>
      </c>
      <c r="AL37" s="9" t="str">
        <f ca="1">IF(DAY(AprSun1)=1,IF(AND(YEAR(AprSun1+28)=CalendarYear,MONTH(AprSun1+28)=4),AprSun1+28,""),IF(AND(YEAR(AprSun1+35)=CalendarYear,MONTH(AprSun1+35)=4),AprSun1+35,""))</f>
        <v/>
      </c>
      <c r="AM37" s="9" t="str">
        <f ca="1">IF(DAY(AprSun1)=1,IF(AND(YEAR(AprSun1+29)=CalendarYear,MONTH(AprSun1+29)=4),AprSun1+29,""),IF(AND(YEAR(AprSun1+36)=CalendarYear,MONTH(AprSun1+36)=4),AprSun1+36,""))</f>
        <v/>
      </c>
      <c r="AN37" s="11" t="str">
        <f ca="1">IF(DAY(AprSun1)=1,IF(AND(YEAR(AprSun1+30)=CalendarYear,MONTH(AprSun1+30)=4),AprSun1+30,""),IF(AND(YEAR(AprSun1+37)=CalendarYear,MONTH(AprSun1+37)=4),AprSun1+37,""))</f>
        <v/>
      </c>
    </row>
    <row r="38" spans="2:40" s="75" customFormat="1" ht="19.899999999999999" customHeight="1" x14ac:dyDescent="0.3">
      <c r="B38" s="212"/>
      <c r="C38" s="297"/>
      <c r="D38" s="273" t="s">
        <v>40</v>
      </c>
      <c r="E38" s="217"/>
      <c r="F38" s="217"/>
      <c r="G38" s="217"/>
      <c r="H38" s="218"/>
      <c r="I38" s="273" t="s">
        <v>41</v>
      </c>
      <c r="J38" s="217"/>
      <c r="K38" s="217"/>
      <c r="L38" s="217"/>
      <c r="M38" s="218"/>
      <c r="N38" s="273" t="s">
        <v>42</v>
      </c>
      <c r="O38" s="217"/>
      <c r="P38" s="217"/>
      <c r="Q38" s="217"/>
      <c r="R38" s="218"/>
      <c r="S38" s="273" t="s">
        <v>43</v>
      </c>
      <c r="T38" s="217"/>
      <c r="U38" s="217"/>
      <c r="V38" s="217"/>
      <c r="W38" s="218"/>
      <c r="X38" s="273" t="s">
        <v>44</v>
      </c>
      <c r="Y38" s="217"/>
      <c r="Z38" s="217"/>
      <c r="AA38" s="217"/>
      <c r="AB38" s="218"/>
      <c r="AC38" s="10" t="s">
        <v>16</v>
      </c>
      <c r="AD38" s="10" t="s">
        <v>13</v>
      </c>
      <c r="AE38" s="10" t="s">
        <v>14</v>
      </c>
      <c r="AF38" s="10" t="s">
        <v>15</v>
      </c>
      <c r="AG38" s="10" t="s">
        <v>9</v>
      </c>
      <c r="AH38" s="10" t="s">
        <v>10</v>
      </c>
      <c r="AI38" s="10" t="s">
        <v>11</v>
      </c>
      <c r="AJ38" s="10" t="s">
        <v>16</v>
      </c>
      <c r="AK38" s="10" t="s">
        <v>13</v>
      </c>
      <c r="AL38" s="10" t="s">
        <v>14</v>
      </c>
      <c r="AM38" s="10" t="s">
        <v>15</v>
      </c>
      <c r="AN38" s="12" t="s">
        <v>9</v>
      </c>
    </row>
    <row r="39" spans="2:40" ht="19.899999999999999" customHeight="1" x14ac:dyDescent="0.3">
      <c r="B39" s="83"/>
      <c r="C39" s="92" t="s">
        <v>22</v>
      </c>
      <c r="D39" s="193">
        <v>91</v>
      </c>
      <c r="E39" s="194"/>
      <c r="F39" s="194"/>
      <c r="G39" s="194"/>
      <c r="H39" s="195"/>
      <c r="I39" s="193">
        <v>100</v>
      </c>
      <c r="J39" s="194"/>
      <c r="K39" s="194"/>
      <c r="L39" s="194"/>
      <c r="M39" s="195"/>
      <c r="N39" s="193">
        <v>84</v>
      </c>
      <c r="O39" s="194"/>
      <c r="P39" s="194"/>
      <c r="Q39" s="194"/>
      <c r="R39" s="195"/>
      <c r="S39" s="193"/>
      <c r="T39" s="194"/>
      <c r="U39" s="194"/>
      <c r="V39" s="194"/>
      <c r="W39" s="195"/>
      <c r="X39" s="193"/>
      <c r="Y39" s="194"/>
      <c r="Z39" s="194"/>
      <c r="AA39" s="194"/>
      <c r="AB39" s="195"/>
      <c r="AC39" s="133" cm="1">
        <f t="array" ref="AC39">SUM(1*(D39:AB39)/5)</f>
        <v>55</v>
      </c>
      <c r="AD39" s="6" t="str">
        <f t="shared" ref="AD39:AN39" ca="1" si="3">IF(OR(NOT(ISNUMBER(AD37)),AD37&lt;Job1_StartDate),"",IF(MID(Job1_Pattern,MOD(AD37-Job1_StartDate,LEN(Job1_Pattern))+1,1)=Job1_Shift1_Code,1,IF(MID(Job1_Pattern,MOD(AD37-Job1_StartDate,LEN(Job1_Pattern))+1,1)=Job1_Shift2_Code,2,IF(MID(Job1_Pattern,MOD(AD37-Job1_StartDate,LEN(Job1_Pattern))+1,1)=Job1_Shift3_Code,3,""))))</f>
        <v/>
      </c>
      <c r="AE39" s="6" t="str">
        <f t="shared" ca="1" si="3"/>
        <v/>
      </c>
      <c r="AF39" s="6">
        <f t="shared" ca="1" si="3"/>
        <v>1</v>
      </c>
      <c r="AG39" s="6" t="str">
        <f t="shared" ca="1" si="3"/>
        <v/>
      </c>
      <c r="AH39" s="6" t="str">
        <f t="shared" ca="1" si="3"/>
        <v/>
      </c>
      <c r="AI39" s="6" t="str">
        <f t="shared" ca="1" si="3"/>
        <v/>
      </c>
      <c r="AJ39" s="6">
        <f t="shared" ca="1" si="3"/>
        <v>1</v>
      </c>
      <c r="AK39" s="6" t="str">
        <f t="shared" ca="1" si="3"/>
        <v/>
      </c>
      <c r="AL39" s="6" t="str">
        <f t="shared" ca="1" si="3"/>
        <v/>
      </c>
      <c r="AM39" s="6" t="str">
        <f t="shared" ca="1" si="3"/>
        <v/>
      </c>
      <c r="AN39" s="6" t="str">
        <f t="shared" ca="1" si="3"/>
        <v/>
      </c>
    </row>
    <row r="40" spans="2:40" ht="19.899999999999999" customHeight="1" x14ac:dyDescent="0.3">
      <c r="B40" s="84"/>
      <c r="C40" s="91" t="s">
        <v>24</v>
      </c>
      <c r="D40" s="193">
        <v>72.7</v>
      </c>
      <c r="E40" s="194"/>
      <c r="F40" s="194"/>
      <c r="G40" s="194"/>
      <c r="H40" s="195"/>
      <c r="I40" s="193">
        <v>77</v>
      </c>
      <c r="J40" s="194"/>
      <c r="K40" s="194"/>
      <c r="L40" s="194"/>
      <c r="M40" s="195"/>
      <c r="N40" s="193">
        <v>88</v>
      </c>
      <c r="O40" s="194"/>
      <c r="P40" s="194"/>
      <c r="Q40" s="194"/>
      <c r="R40" s="195"/>
      <c r="S40" s="193">
        <v>86</v>
      </c>
      <c r="T40" s="194"/>
      <c r="U40" s="194"/>
      <c r="V40" s="194"/>
      <c r="W40" s="195"/>
      <c r="X40" s="193"/>
      <c r="Y40" s="194"/>
      <c r="Z40" s="194"/>
      <c r="AA40" s="194"/>
      <c r="AB40" s="195"/>
      <c r="AC40" s="133" cm="1">
        <f t="array" ref="AC40">SUM(1*(D40:AB40)/5)</f>
        <v>64.740000000000009</v>
      </c>
      <c r="AD40" s="7" t="str">
        <f t="shared" ref="AD40:AN40" ca="1" si="4">IF(OR(NOT(ISNUMBER(AD37)),AD37&lt;Job2_StartDate),"",IF(MID(Job2_Pattern,MOD(AD37-Job2_StartDate,LEN(Job2_Pattern))+1,1)=Job2_Shift1_Code,1,IF(MID(Job2_Pattern,MOD(AD37-Job2_StartDate,LEN(Job2_Pattern))+1,1)=Job2_Shift2_Code,2,IF(MID(Job2_Pattern,MOD(AD37-Job2_StartDate,LEN(Job2_Pattern))+1,1)=Job2_Shift3_Code,3,""))))</f>
        <v/>
      </c>
      <c r="AE40" s="7">
        <f t="shared" ca="1" si="4"/>
        <v>2</v>
      </c>
      <c r="AF40" s="7" t="str">
        <f t="shared" ca="1" si="4"/>
        <v/>
      </c>
      <c r="AG40" s="7" t="str">
        <f t="shared" ca="1" si="4"/>
        <v/>
      </c>
      <c r="AH40" s="7" t="str">
        <f t="shared" ca="1" si="4"/>
        <v/>
      </c>
      <c r="AI40" s="7">
        <f t="shared" ca="1" si="4"/>
        <v>2</v>
      </c>
      <c r="AJ40" s="7" t="str">
        <f t="shared" ca="1" si="4"/>
        <v/>
      </c>
      <c r="AK40" s="7" t="str">
        <f t="shared" ca="1" si="4"/>
        <v/>
      </c>
      <c r="AL40" s="7" t="str">
        <f t="shared" ca="1" si="4"/>
        <v/>
      </c>
      <c r="AM40" s="7" t="str">
        <f t="shared" ca="1" si="4"/>
        <v/>
      </c>
      <c r="AN40" s="7" t="str">
        <f t="shared" ca="1" si="4"/>
        <v/>
      </c>
    </row>
    <row r="41" spans="2:40" ht="19.899999999999999" customHeight="1" x14ac:dyDescent="0.3">
      <c r="B41" s="84"/>
      <c r="C41" s="91" t="s">
        <v>26</v>
      </c>
      <c r="D41" s="193">
        <v>100</v>
      </c>
      <c r="E41" s="194"/>
      <c r="F41" s="194"/>
      <c r="G41" s="194"/>
      <c r="H41" s="195"/>
      <c r="I41" s="193">
        <v>82</v>
      </c>
      <c r="J41" s="194"/>
      <c r="K41" s="194"/>
      <c r="L41" s="194"/>
      <c r="M41" s="195"/>
      <c r="N41" s="193">
        <v>100</v>
      </c>
      <c r="O41" s="194"/>
      <c r="P41" s="194"/>
      <c r="Q41" s="194"/>
      <c r="R41" s="195"/>
      <c r="S41" s="193">
        <v>63</v>
      </c>
      <c r="T41" s="194"/>
      <c r="U41" s="194"/>
      <c r="V41" s="194"/>
      <c r="W41" s="195"/>
      <c r="X41" s="193"/>
      <c r="Y41" s="194"/>
      <c r="Z41" s="194"/>
      <c r="AA41" s="194"/>
      <c r="AB41" s="195"/>
      <c r="AC41" s="133" cm="1">
        <f t="array" ref="AC41">SUM(1*(D41:AB41)/5)</f>
        <v>69</v>
      </c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2:40" ht="19.899999999999999" customHeight="1" x14ac:dyDescent="0.3">
      <c r="B42" s="84"/>
      <c r="C42" s="91" t="s">
        <v>28</v>
      </c>
      <c r="D42" s="193">
        <v>57.2</v>
      </c>
      <c r="E42" s="194"/>
      <c r="F42" s="194"/>
      <c r="G42" s="194"/>
      <c r="H42" s="195"/>
      <c r="I42" s="193">
        <v>89</v>
      </c>
      <c r="J42" s="194"/>
      <c r="K42" s="194"/>
      <c r="L42" s="194"/>
      <c r="M42" s="195"/>
      <c r="N42" s="193"/>
      <c r="O42" s="194"/>
      <c r="P42" s="194"/>
      <c r="Q42" s="194"/>
      <c r="R42" s="195"/>
      <c r="S42" s="193">
        <v>90.5</v>
      </c>
      <c r="T42" s="194"/>
      <c r="U42" s="194"/>
      <c r="V42" s="194"/>
      <c r="W42" s="195"/>
      <c r="X42" s="193">
        <v>73</v>
      </c>
      <c r="Y42" s="194"/>
      <c r="Z42" s="194"/>
      <c r="AA42" s="194"/>
      <c r="AB42" s="195"/>
      <c r="AC42" s="133" cm="1">
        <f t="array" ref="AC42">SUM(1*(D42:AB42)/5)</f>
        <v>61.940000000000005</v>
      </c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2:40" ht="19.899999999999999" customHeight="1" x14ac:dyDescent="0.3">
      <c r="B43" s="84"/>
      <c r="C43" s="91" t="s">
        <v>30</v>
      </c>
      <c r="D43" s="193">
        <v>0</v>
      </c>
      <c r="E43" s="194"/>
      <c r="F43" s="194"/>
      <c r="G43" s="194"/>
      <c r="H43" s="195"/>
      <c r="I43" s="193">
        <v>0</v>
      </c>
      <c r="J43" s="194"/>
      <c r="K43" s="194"/>
      <c r="L43" s="194"/>
      <c r="M43" s="195"/>
      <c r="N43" s="193">
        <v>96</v>
      </c>
      <c r="O43" s="194"/>
      <c r="P43" s="194"/>
      <c r="Q43" s="194"/>
      <c r="R43" s="195"/>
      <c r="S43" s="193">
        <v>100</v>
      </c>
      <c r="T43" s="194"/>
      <c r="U43" s="194"/>
      <c r="V43" s="194"/>
      <c r="W43" s="195"/>
      <c r="X43" s="193"/>
      <c r="Y43" s="194"/>
      <c r="Z43" s="194"/>
      <c r="AA43" s="194"/>
      <c r="AB43" s="195"/>
      <c r="AC43" s="133" cm="1">
        <f t="array" ref="AC43">SUM(1*(D43:AB43)/5)</f>
        <v>39.200000000000003</v>
      </c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2:40" ht="19.899999999999999" customHeight="1" x14ac:dyDescent="0.3">
      <c r="B44" s="84"/>
      <c r="C44" s="91"/>
      <c r="D44" s="193"/>
      <c r="E44" s="194"/>
      <c r="F44" s="194"/>
      <c r="G44" s="194"/>
      <c r="H44" s="195"/>
      <c r="I44" s="193"/>
      <c r="J44" s="194"/>
      <c r="K44" s="194"/>
      <c r="L44" s="194"/>
      <c r="M44" s="195"/>
      <c r="N44" s="193"/>
      <c r="O44" s="194"/>
      <c r="P44" s="194"/>
      <c r="Q44" s="194"/>
      <c r="R44" s="195"/>
      <c r="S44" s="193"/>
      <c r="T44" s="194"/>
      <c r="U44" s="194"/>
      <c r="V44" s="194"/>
      <c r="W44" s="195"/>
      <c r="X44" s="193"/>
      <c r="Y44" s="194"/>
      <c r="Z44" s="194"/>
      <c r="AA44" s="194"/>
      <c r="AB44" s="195"/>
      <c r="AC44" s="7" t="str">
        <f t="shared" ref="AC44:AN44" ca="1" si="5">IF(OR(NOT(ISNUMBER(AC37)),AC37&lt;Job3_StartDate),"",IF(MID(Job3_Pattern,MOD(AC37-Job3_StartDate,LEN(Job3_Pattern))+1,1)=Job3_Shift1_Code,1,IF(MID(Job3_Pattern,MOD(AC37-Job3_StartDate,LEN(Job3_Pattern))+1,1)=Job3_Shift2_Code,2,IF(MID(Job3_Pattern,MOD(AC37-Job3_StartDate,LEN(Job3_Pattern))+1,1)=Job3_Shift3_Code,3,""))))</f>
        <v/>
      </c>
      <c r="AD44" s="7" t="str">
        <f t="shared" ca="1" si="5"/>
        <v/>
      </c>
      <c r="AE44" s="7" t="str">
        <f t="shared" ca="1" si="5"/>
        <v/>
      </c>
      <c r="AF44" s="7">
        <f t="shared" ca="1" si="5"/>
        <v>3</v>
      </c>
      <c r="AG44" s="7" t="str">
        <f t="shared" ca="1" si="5"/>
        <v/>
      </c>
      <c r="AH44" s="7" t="str">
        <f t="shared" ca="1" si="5"/>
        <v/>
      </c>
      <c r="AI44" s="7" t="str">
        <f t="shared" ca="1" si="5"/>
        <v/>
      </c>
      <c r="AJ44" s="7">
        <f t="shared" ca="1" si="5"/>
        <v>3</v>
      </c>
      <c r="AK44" s="7" t="str">
        <f t="shared" ca="1" si="5"/>
        <v/>
      </c>
      <c r="AL44" s="7" t="str">
        <f t="shared" ca="1" si="5"/>
        <v/>
      </c>
      <c r="AM44" s="7" t="str">
        <f t="shared" ca="1" si="5"/>
        <v/>
      </c>
      <c r="AN44" s="7" t="str">
        <f t="shared" ca="1" si="5"/>
        <v/>
      </c>
    </row>
    <row r="45" spans="2:40" ht="19.899999999999999" customHeight="1" x14ac:dyDescent="0.3">
      <c r="B45" s="85"/>
      <c r="C45" s="91"/>
      <c r="D45" s="193"/>
      <c r="E45" s="194"/>
      <c r="F45" s="194"/>
      <c r="G45" s="194"/>
      <c r="H45" s="195"/>
      <c r="I45" s="193"/>
      <c r="J45" s="194"/>
      <c r="K45" s="194"/>
      <c r="L45" s="194"/>
      <c r="M45" s="195"/>
      <c r="N45" s="193"/>
      <c r="O45" s="194"/>
      <c r="P45" s="194"/>
      <c r="Q45" s="194"/>
      <c r="R45" s="195"/>
      <c r="S45" s="193"/>
      <c r="T45" s="194"/>
      <c r="U45" s="194"/>
      <c r="V45" s="194"/>
      <c r="W45" s="195"/>
      <c r="X45" s="193"/>
      <c r="Y45" s="194"/>
      <c r="Z45" s="194"/>
      <c r="AA45" s="194"/>
      <c r="AB45" s="195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</row>
    <row r="46" spans="2:40" ht="19.899999999999999" customHeight="1" x14ac:dyDescent="0.3">
      <c r="B46" s="128"/>
      <c r="C46" s="128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</row>
    <row r="47" spans="2:40" ht="19.899999999999999" customHeight="1" thickBot="1" x14ac:dyDescent="0.35">
      <c r="B47" s="74"/>
      <c r="C47" s="74"/>
    </row>
    <row r="48" spans="2:40" s="75" customFormat="1" ht="19.899999999999999" customHeight="1" x14ac:dyDescent="0.3">
      <c r="B48" s="211">
        <f ca="1">DATE(CalendarYear,5,1)</f>
        <v>46143</v>
      </c>
      <c r="C48" s="77"/>
      <c r="D48" s="213" t="s">
        <v>5</v>
      </c>
      <c r="E48" s="214"/>
      <c r="F48" s="214"/>
      <c r="G48" s="214"/>
      <c r="H48" s="215"/>
      <c r="I48" s="213" t="s">
        <v>6</v>
      </c>
      <c r="J48" s="214"/>
      <c r="K48" s="214"/>
      <c r="L48" s="214"/>
      <c r="M48" s="215"/>
      <c r="N48" s="213" t="s">
        <v>7</v>
      </c>
      <c r="O48" s="214"/>
      <c r="P48" s="214"/>
      <c r="Q48" s="214"/>
      <c r="R48" s="215"/>
      <c r="S48" s="213" t="s">
        <v>8</v>
      </c>
      <c r="T48" s="214"/>
      <c r="U48" s="214"/>
      <c r="V48" s="214"/>
      <c r="W48" s="215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1"/>
    </row>
    <row r="49" spans="2:40" s="75" customFormat="1" ht="19.899999999999999" customHeight="1" x14ac:dyDescent="0.3">
      <c r="B49" s="212"/>
      <c r="C49" s="78"/>
      <c r="D49" s="225" t="s">
        <v>45</v>
      </c>
      <c r="E49" s="226"/>
      <c r="F49" s="226"/>
      <c r="G49" s="226"/>
      <c r="H49" s="227"/>
      <c r="I49" s="225" t="s">
        <v>46</v>
      </c>
      <c r="J49" s="226"/>
      <c r="K49" s="226"/>
      <c r="L49" s="226"/>
      <c r="M49" s="227"/>
      <c r="N49" s="225" t="s">
        <v>47</v>
      </c>
      <c r="O49" s="226"/>
      <c r="P49" s="226"/>
      <c r="Q49" s="226"/>
      <c r="R49" s="227"/>
      <c r="S49" s="225" t="s">
        <v>48</v>
      </c>
      <c r="T49" s="226"/>
      <c r="U49" s="226"/>
      <c r="V49" s="226"/>
      <c r="W49" s="227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2"/>
    </row>
    <row r="50" spans="2:40" ht="19.899999999999999" customHeight="1" x14ac:dyDescent="0.3">
      <c r="B50" s="71"/>
      <c r="C50" s="92" t="s">
        <v>22</v>
      </c>
      <c r="D50" s="286">
        <v>89</v>
      </c>
      <c r="E50" s="301"/>
      <c r="F50" s="301"/>
      <c r="G50" s="301"/>
      <c r="H50" s="302"/>
      <c r="I50" s="286">
        <v>88</v>
      </c>
      <c r="J50" s="301"/>
      <c r="K50" s="301"/>
      <c r="L50" s="301"/>
      <c r="M50" s="302"/>
      <c r="N50" s="304"/>
      <c r="O50" s="301"/>
      <c r="P50" s="301"/>
      <c r="Q50" s="301"/>
      <c r="R50" s="302"/>
      <c r="S50" s="304"/>
      <c r="T50" s="301"/>
      <c r="U50" s="301"/>
      <c r="V50" s="301"/>
      <c r="W50" s="302"/>
      <c r="X50" s="179">
        <v>86</v>
      </c>
      <c r="Y50" s="6" t="str">
        <f t="shared" ref="Y50:AN50" ca="1" si="6">IF(OR(NOT(ISNUMBER(Y48)),Y48&lt;Job1_StartDate),"",IF(MID(Job1_Pattern,MOD(Y48-Job1_StartDate,LEN(Job1_Pattern))+1,1)=Job1_Shift1_Code,1,IF(MID(Job1_Pattern,MOD(Y48-Job1_StartDate,LEN(Job1_Pattern))+1,1)=Job1_Shift2_Code,2,IF(MID(Job1_Pattern,MOD(Y48-Job1_StartDate,LEN(Job1_Pattern))+1,1)=Job1_Shift3_Code,3,""))))</f>
        <v/>
      </c>
      <c r="Z50" s="6" t="str">
        <f t="shared" ca="1" si="6"/>
        <v/>
      </c>
      <c r="AA50" s="6" t="str">
        <f t="shared" ca="1" si="6"/>
        <v/>
      </c>
      <c r="AB50" s="6" t="str">
        <f t="shared" ca="1" si="6"/>
        <v/>
      </c>
      <c r="AC50" s="6" t="str">
        <f t="shared" ca="1" si="6"/>
        <v/>
      </c>
      <c r="AD50" s="6" t="str">
        <f t="shared" ca="1" si="6"/>
        <v/>
      </c>
      <c r="AE50" s="6" t="str">
        <f t="shared" ca="1" si="6"/>
        <v/>
      </c>
      <c r="AF50" s="6" t="str">
        <f t="shared" ca="1" si="6"/>
        <v/>
      </c>
      <c r="AG50" s="6" t="str">
        <f t="shared" ca="1" si="6"/>
        <v/>
      </c>
      <c r="AH50" s="6" t="str">
        <f t="shared" ca="1" si="6"/>
        <v/>
      </c>
      <c r="AI50" s="6" t="str">
        <f t="shared" ca="1" si="6"/>
        <v/>
      </c>
      <c r="AJ50" s="6" t="str">
        <f t="shared" ca="1" si="6"/>
        <v/>
      </c>
      <c r="AK50" s="6" t="str">
        <f t="shared" ca="1" si="6"/>
        <v/>
      </c>
      <c r="AL50" s="6" t="str">
        <f t="shared" ca="1" si="6"/>
        <v/>
      </c>
      <c r="AM50" s="6" t="str">
        <f t="shared" ca="1" si="6"/>
        <v/>
      </c>
      <c r="AN50" s="6" t="str">
        <f t="shared" ca="1" si="6"/>
        <v/>
      </c>
    </row>
    <row r="51" spans="2:40" ht="19.899999999999999" customHeight="1" x14ac:dyDescent="0.3">
      <c r="B51" s="71"/>
      <c r="C51" s="91" t="s">
        <v>24</v>
      </c>
      <c r="D51" s="286">
        <v>86</v>
      </c>
      <c r="E51" s="301"/>
      <c r="F51" s="301"/>
      <c r="G51" s="301"/>
      <c r="H51" s="302"/>
      <c r="I51" s="286">
        <v>86</v>
      </c>
      <c r="J51" s="301"/>
      <c r="K51" s="301"/>
      <c r="L51" s="301"/>
      <c r="M51" s="302"/>
      <c r="N51" s="286">
        <v>76</v>
      </c>
      <c r="O51" s="301"/>
      <c r="P51" s="301"/>
      <c r="Q51" s="301"/>
      <c r="R51" s="302"/>
      <c r="S51" s="286">
        <v>100</v>
      </c>
      <c r="T51" s="301"/>
      <c r="U51" s="301"/>
      <c r="V51" s="301"/>
      <c r="W51" s="302"/>
      <c r="X51" s="179">
        <v>87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</row>
    <row r="52" spans="2:40" ht="19.899999999999999" customHeight="1" x14ac:dyDescent="0.3">
      <c r="B52" s="71"/>
      <c r="C52" s="91" t="s">
        <v>26</v>
      </c>
      <c r="D52" s="304">
        <v>96</v>
      </c>
      <c r="E52" s="301"/>
      <c r="F52" s="301"/>
      <c r="G52" s="301"/>
      <c r="H52" s="302"/>
      <c r="I52" s="304" t="s">
        <v>49</v>
      </c>
      <c r="J52" s="301"/>
      <c r="K52" s="301"/>
      <c r="L52" s="301"/>
      <c r="M52" s="302"/>
      <c r="N52" s="304" t="s">
        <v>50</v>
      </c>
      <c r="O52" s="301"/>
      <c r="P52" s="301"/>
      <c r="Q52" s="301"/>
      <c r="R52" s="302"/>
      <c r="S52" s="304" t="s">
        <v>51</v>
      </c>
      <c r="T52" s="301"/>
      <c r="U52" s="301"/>
      <c r="V52" s="301"/>
      <c r="W52" s="302"/>
      <c r="X52" s="179">
        <f>AVERAGE(D52:W52)</f>
        <v>96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</row>
    <row r="53" spans="2:40" ht="19.899999999999999" customHeight="1" x14ac:dyDescent="0.3">
      <c r="B53" s="71"/>
      <c r="C53" s="91" t="s">
        <v>28</v>
      </c>
      <c r="D53" s="286">
        <v>64</v>
      </c>
      <c r="E53" s="301"/>
      <c r="F53" s="301"/>
      <c r="G53" s="301"/>
      <c r="H53" s="302"/>
      <c r="I53" s="286">
        <v>64</v>
      </c>
      <c r="J53" s="301"/>
      <c r="K53" s="301"/>
      <c r="L53" s="301"/>
      <c r="M53" s="302"/>
      <c r="N53" s="286">
        <v>70</v>
      </c>
      <c r="O53" s="301"/>
      <c r="P53" s="301"/>
      <c r="Q53" s="301"/>
      <c r="R53" s="302"/>
      <c r="S53" s="286">
        <v>75</v>
      </c>
      <c r="T53" s="301"/>
      <c r="U53" s="301"/>
      <c r="V53" s="301"/>
      <c r="W53" s="302"/>
      <c r="X53" s="179">
        <v>68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</row>
    <row r="54" spans="2:40" ht="19.899999999999999" customHeight="1" x14ac:dyDescent="0.3">
      <c r="B54" s="71"/>
      <c r="C54" s="91" t="s">
        <v>30</v>
      </c>
      <c r="D54" s="304">
        <v>75</v>
      </c>
      <c r="E54" s="301"/>
      <c r="F54" s="301"/>
      <c r="G54" s="301"/>
      <c r="H54" s="302"/>
      <c r="I54" s="304">
        <v>95</v>
      </c>
      <c r="J54" s="301"/>
      <c r="K54" s="301"/>
      <c r="L54" s="301"/>
      <c r="M54" s="302"/>
      <c r="N54" s="304">
        <v>91</v>
      </c>
      <c r="O54" s="301"/>
      <c r="P54" s="301"/>
      <c r="Q54" s="301"/>
      <c r="R54" s="302"/>
      <c r="S54" s="304">
        <v>87</v>
      </c>
      <c r="T54" s="301"/>
      <c r="U54" s="301"/>
      <c r="V54" s="301"/>
      <c r="W54" s="302"/>
      <c r="X54" s="179">
        <v>87</v>
      </c>
      <c r="Y54" s="6"/>
      <c r="Z54" s="236"/>
      <c r="AA54" s="238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 spans="2:40" ht="19.899999999999999" customHeight="1" x14ac:dyDescent="0.3">
      <c r="B55" s="72"/>
      <c r="C55" s="7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 t="str">
        <f t="shared" ref="X55:AN55" ca="1" si="7">IF(OR(NOT(ISNUMBER(X48)),X48&lt;Job2_StartDate),"",IF(MID(Job2_Pattern,MOD(X48-Job2_StartDate,LEN(Job2_Pattern))+1,1)=Job2_Shift1_Code,1,IF(MID(Job2_Pattern,MOD(X48-Job2_StartDate,LEN(Job2_Pattern))+1,1)=Job2_Shift2_Code,2,IF(MID(Job2_Pattern,MOD(X48-Job2_StartDate,LEN(Job2_Pattern))+1,1)=Job2_Shift3_Code,3,""))))</f>
        <v/>
      </c>
      <c r="Y55" s="7" t="str">
        <f t="shared" ca="1" si="7"/>
        <v/>
      </c>
      <c r="Z55" s="7" t="str">
        <f t="shared" ca="1" si="7"/>
        <v/>
      </c>
      <c r="AA55" s="7" t="str">
        <f t="shared" ca="1" si="7"/>
        <v/>
      </c>
      <c r="AB55" s="7" t="str">
        <f t="shared" ca="1" si="7"/>
        <v/>
      </c>
      <c r="AC55" s="7" t="str">
        <f t="shared" ca="1" si="7"/>
        <v/>
      </c>
      <c r="AD55" s="7" t="str">
        <f t="shared" ca="1" si="7"/>
        <v/>
      </c>
      <c r="AE55" s="7" t="str">
        <f t="shared" ca="1" si="7"/>
        <v/>
      </c>
      <c r="AF55" s="7" t="str">
        <f t="shared" ca="1" si="7"/>
        <v/>
      </c>
      <c r="AG55" s="7" t="str">
        <f t="shared" ca="1" si="7"/>
        <v/>
      </c>
      <c r="AH55" s="7" t="str">
        <f t="shared" ca="1" si="7"/>
        <v/>
      </c>
      <c r="AI55" s="7" t="str">
        <f t="shared" ca="1" si="7"/>
        <v/>
      </c>
      <c r="AJ55" s="7" t="str">
        <f t="shared" ca="1" si="7"/>
        <v/>
      </c>
      <c r="AK55" s="7" t="str">
        <f t="shared" ca="1" si="7"/>
        <v/>
      </c>
      <c r="AL55" s="7" t="str">
        <f t="shared" ca="1" si="7"/>
        <v/>
      </c>
      <c r="AM55" s="7" t="str">
        <f t="shared" ca="1" si="7"/>
        <v/>
      </c>
      <c r="AN55" s="7" t="str">
        <f t="shared" ca="1" si="7"/>
        <v/>
      </c>
    </row>
    <row r="56" spans="2:40" ht="19.899999999999999" customHeight="1" x14ac:dyDescent="0.3">
      <c r="B56" s="73"/>
      <c r="C56" s="7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 t="str">
        <f t="shared" ref="X56:AN56" ca="1" si="8">IF(OR(NOT(ISNUMBER(X48)),X48&lt;Job3_StartDate),"",IF(MID(Job3_Pattern,MOD(X48-Job3_StartDate,LEN(Job3_Pattern))+1,1)=Job3_Shift1_Code,1,IF(MID(Job3_Pattern,MOD(X48-Job3_StartDate,LEN(Job3_Pattern))+1,1)=Job3_Shift2_Code,2,IF(MID(Job3_Pattern,MOD(X48-Job3_StartDate,LEN(Job3_Pattern))+1,1)=Job3_Shift3_Code,3,""))))</f>
        <v/>
      </c>
      <c r="Y56" s="7" t="str">
        <f t="shared" ca="1" si="8"/>
        <v/>
      </c>
      <c r="Z56" s="7" t="str">
        <f t="shared" ca="1" si="8"/>
        <v/>
      </c>
      <c r="AA56" s="7" t="str">
        <f t="shared" ca="1" si="8"/>
        <v/>
      </c>
      <c r="AB56" s="7" t="str">
        <f t="shared" ca="1" si="8"/>
        <v/>
      </c>
      <c r="AC56" s="7" t="str">
        <f t="shared" ca="1" si="8"/>
        <v/>
      </c>
      <c r="AD56" s="7" t="str">
        <f t="shared" ca="1" si="8"/>
        <v/>
      </c>
      <c r="AE56" s="7" t="str">
        <f t="shared" ca="1" si="8"/>
        <v/>
      </c>
      <c r="AF56" s="7" t="str">
        <f t="shared" ca="1" si="8"/>
        <v/>
      </c>
      <c r="AG56" s="7" t="str">
        <f t="shared" ca="1" si="8"/>
        <v/>
      </c>
      <c r="AH56" s="7" t="str">
        <f t="shared" ca="1" si="8"/>
        <v/>
      </c>
      <c r="AI56" s="7" t="str">
        <f t="shared" ca="1" si="8"/>
        <v/>
      </c>
      <c r="AJ56" s="7" t="str">
        <f t="shared" ca="1" si="8"/>
        <v/>
      </c>
      <c r="AK56" s="7" t="str">
        <f t="shared" ca="1" si="8"/>
        <v/>
      </c>
      <c r="AL56" s="7" t="str">
        <f t="shared" ca="1" si="8"/>
        <v/>
      </c>
      <c r="AM56" s="7" t="str">
        <f t="shared" ca="1" si="8"/>
        <v/>
      </c>
      <c r="AN56" s="7" t="str">
        <f t="shared" ca="1" si="8"/>
        <v/>
      </c>
    </row>
    <row r="57" spans="2:40" ht="19.899999999999999" customHeight="1" thickBot="1" x14ac:dyDescent="0.35">
      <c r="B57" s="74"/>
      <c r="C57" s="74"/>
    </row>
    <row r="58" spans="2:40" ht="18.95" customHeight="1" x14ac:dyDescent="0.3">
      <c r="B58" s="211">
        <v>46174</v>
      </c>
      <c r="C58" s="77"/>
      <c r="D58" s="213" t="s">
        <v>5</v>
      </c>
      <c r="E58" s="214"/>
      <c r="F58" s="214"/>
      <c r="G58" s="214"/>
      <c r="H58" s="215"/>
      <c r="I58" s="213" t="s">
        <v>6</v>
      </c>
      <c r="J58" s="214"/>
      <c r="K58" s="214"/>
      <c r="L58" s="214"/>
      <c r="M58" s="215"/>
      <c r="N58" s="213" t="s">
        <v>7</v>
      </c>
      <c r="O58" s="214"/>
      <c r="P58" s="214"/>
      <c r="Q58" s="214"/>
      <c r="R58" s="215"/>
      <c r="S58" s="213" t="s">
        <v>8</v>
      </c>
      <c r="T58" s="214"/>
      <c r="U58" s="214"/>
      <c r="V58" s="214"/>
      <c r="W58" s="215"/>
      <c r="AB58" s="3">
        <v>100</v>
      </c>
    </row>
    <row r="59" spans="2:40" ht="18.95" customHeight="1" x14ac:dyDescent="0.3">
      <c r="B59" s="212"/>
      <c r="C59" s="78"/>
      <c r="D59" s="225" t="s">
        <v>52</v>
      </c>
      <c r="E59" s="226"/>
      <c r="F59" s="226"/>
      <c r="G59" s="226"/>
      <c r="H59" s="227"/>
      <c r="I59" s="225" t="s">
        <v>53</v>
      </c>
      <c r="J59" s="226"/>
      <c r="K59" s="226"/>
      <c r="L59" s="226"/>
      <c r="M59" s="227"/>
      <c r="N59" s="225" t="s">
        <v>54</v>
      </c>
      <c r="O59" s="226"/>
      <c r="P59" s="226"/>
      <c r="Q59" s="226"/>
      <c r="R59" s="227"/>
      <c r="S59" s="225" t="s">
        <v>55</v>
      </c>
      <c r="T59" s="226"/>
      <c r="U59" s="226"/>
      <c r="V59" s="226"/>
      <c r="W59" s="227"/>
      <c r="AB59" s="3">
        <v>89</v>
      </c>
    </row>
    <row r="60" spans="2:40" ht="18.95" customHeight="1" x14ac:dyDescent="0.3">
      <c r="B60" s="71"/>
      <c r="C60" s="92" t="s">
        <v>22</v>
      </c>
      <c r="D60" s="289"/>
      <c r="E60" s="290"/>
      <c r="F60" s="290"/>
      <c r="G60" s="290"/>
      <c r="H60" s="291"/>
      <c r="I60" s="289"/>
      <c r="J60" s="290"/>
      <c r="K60" s="290"/>
      <c r="L60" s="290"/>
      <c r="M60" s="291"/>
      <c r="N60" s="289"/>
      <c r="O60" s="290"/>
      <c r="P60" s="290"/>
      <c r="Q60" s="290"/>
      <c r="R60" s="291"/>
      <c r="S60" s="289"/>
      <c r="T60" s="290"/>
      <c r="U60" s="290"/>
      <c r="V60" s="290"/>
      <c r="W60" s="291"/>
      <c r="AB60" s="3">
        <v>77</v>
      </c>
    </row>
    <row r="61" spans="2:40" ht="18.95" customHeight="1" x14ac:dyDescent="0.3">
      <c r="B61" s="71"/>
      <c r="C61" s="91" t="s">
        <v>24</v>
      </c>
      <c r="D61" s="289" t="s">
        <v>56</v>
      </c>
      <c r="E61" s="290"/>
      <c r="F61" s="290"/>
      <c r="G61" s="290"/>
      <c r="H61" s="291"/>
      <c r="I61" s="289" t="s">
        <v>57</v>
      </c>
      <c r="J61" s="290"/>
      <c r="K61" s="290"/>
      <c r="L61" s="290"/>
      <c r="M61" s="291"/>
      <c r="N61" s="289" t="s">
        <v>58</v>
      </c>
      <c r="O61" s="290"/>
      <c r="P61" s="290"/>
      <c r="Q61" s="290"/>
      <c r="R61" s="291"/>
      <c r="S61" s="289" t="s">
        <v>49</v>
      </c>
      <c r="T61" s="290"/>
      <c r="U61" s="290"/>
      <c r="V61" s="290"/>
      <c r="W61" s="291"/>
      <c r="AB61" s="3">
        <v>88</v>
      </c>
    </row>
    <row r="62" spans="2:40" ht="18.95" customHeight="1" x14ac:dyDescent="0.3">
      <c r="B62" s="71"/>
      <c r="C62" s="91" t="s">
        <v>26</v>
      </c>
      <c r="D62" s="289" t="s">
        <v>38</v>
      </c>
      <c r="E62" s="290"/>
      <c r="F62" s="290"/>
      <c r="G62" s="290"/>
      <c r="H62" s="291"/>
      <c r="I62" s="289" t="s">
        <v>59</v>
      </c>
      <c r="J62" s="290"/>
      <c r="K62" s="290"/>
      <c r="L62" s="290"/>
      <c r="M62" s="291"/>
      <c r="N62" s="289" t="s">
        <v>49</v>
      </c>
      <c r="O62" s="290"/>
      <c r="P62" s="290"/>
      <c r="Q62" s="290"/>
      <c r="R62" s="291"/>
      <c r="S62" s="289" t="s">
        <v>60</v>
      </c>
      <c r="T62" s="290"/>
      <c r="U62" s="290"/>
      <c r="V62" s="290"/>
      <c r="W62" s="291"/>
      <c r="AB62" s="187">
        <v>93</v>
      </c>
    </row>
    <row r="63" spans="2:40" ht="18.95" customHeight="1" x14ac:dyDescent="0.3">
      <c r="B63" s="71"/>
      <c r="C63" s="91" t="s">
        <v>28</v>
      </c>
      <c r="D63" s="286">
        <v>73</v>
      </c>
      <c r="E63" s="287"/>
      <c r="F63" s="287"/>
      <c r="G63" s="287"/>
      <c r="H63" s="288"/>
      <c r="I63" s="289" t="s">
        <v>61</v>
      </c>
      <c r="J63" s="290"/>
      <c r="K63" s="290"/>
      <c r="L63" s="290"/>
      <c r="M63" s="291"/>
      <c r="N63" s="289" t="s">
        <v>62</v>
      </c>
      <c r="O63" s="290"/>
      <c r="P63" s="290"/>
      <c r="Q63" s="290"/>
      <c r="R63" s="291"/>
      <c r="S63" s="289" t="s">
        <v>63</v>
      </c>
      <c r="T63" s="290"/>
      <c r="U63" s="290"/>
      <c r="V63" s="290"/>
      <c r="W63" s="291"/>
      <c r="AB63" s="3">
        <v>73</v>
      </c>
      <c r="AE63" s="303" t="s">
        <v>64</v>
      </c>
      <c r="AF63" s="303"/>
      <c r="AG63" s="303"/>
      <c r="AH63" s="303"/>
      <c r="AI63" s="303"/>
      <c r="AJ63" s="303"/>
      <c r="AK63" s="303"/>
    </row>
    <row r="64" spans="2:40" ht="18.95" customHeight="1" x14ac:dyDescent="0.3">
      <c r="B64" s="71"/>
      <c r="C64" s="91" t="s">
        <v>30</v>
      </c>
      <c r="D64" s="286">
        <v>61</v>
      </c>
      <c r="E64" s="287"/>
      <c r="F64" s="287"/>
      <c r="G64" s="287"/>
      <c r="H64" s="288"/>
      <c r="I64" s="289" t="s">
        <v>65</v>
      </c>
      <c r="J64" s="290"/>
      <c r="K64" s="290"/>
      <c r="L64" s="290"/>
      <c r="M64" s="291"/>
      <c r="N64" s="289" t="s">
        <v>66</v>
      </c>
      <c r="O64" s="290"/>
      <c r="P64" s="290"/>
      <c r="Q64" s="290"/>
      <c r="R64" s="291"/>
      <c r="S64" s="289"/>
      <c r="T64" s="290"/>
      <c r="U64" s="290"/>
      <c r="V64" s="290"/>
      <c r="W64" s="291"/>
      <c r="AB64" s="3">
        <v>61</v>
      </c>
    </row>
    <row r="65" spans="2:28" ht="18.95" customHeight="1" x14ac:dyDescent="0.3">
      <c r="B65" s="185"/>
      <c r="C65" s="126" t="s">
        <v>38</v>
      </c>
      <c r="D65" s="292">
        <v>100</v>
      </c>
      <c r="E65" s="293"/>
      <c r="F65" s="293"/>
      <c r="G65" s="293"/>
      <c r="H65" s="293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AB65" s="3">
        <v>84</v>
      </c>
    </row>
    <row r="66" spans="2:28" ht="18.95" customHeight="1" thickBot="1" x14ac:dyDescent="0.35"/>
    <row r="67" spans="2:28" ht="18.95" customHeight="1" x14ac:dyDescent="0.3">
      <c r="B67" s="211">
        <v>46204</v>
      </c>
      <c r="C67" s="77"/>
      <c r="D67" s="213" t="s">
        <v>5</v>
      </c>
      <c r="E67" s="214"/>
      <c r="F67" s="214"/>
      <c r="G67" s="214"/>
      <c r="H67" s="215"/>
      <c r="I67" s="213" t="s">
        <v>6</v>
      </c>
      <c r="J67" s="214"/>
      <c r="K67" s="214"/>
      <c r="L67" s="214"/>
      <c r="M67" s="215"/>
      <c r="N67" s="213" t="s">
        <v>7</v>
      </c>
      <c r="O67" s="214"/>
      <c r="P67" s="214"/>
      <c r="Q67" s="214"/>
      <c r="R67" s="215"/>
      <c r="S67" s="213" t="s">
        <v>8</v>
      </c>
      <c r="T67" s="214"/>
      <c r="U67" s="214"/>
      <c r="V67" s="214"/>
      <c r="W67" s="215"/>
      <c r="X67" s="213" t="s">
        <v>39</v>
      </c>
      <c r="Y67" s="214"/>
      <c r="Z67" s="214"/>
      <c r="AA67" s="214"/>
      <c r="AB67" s="215"/>
    </row>
    <row r="68" spans="2:28" ht="18.95" customHeight="1" x14ac:dyDescent="0.3">
      <c r="B68" s="212"/>
      <c r="C68" s="78"/>
      <c r="D68" s="225" t="s">
        <v>67</v>
      </c>
      <c r="E68" s="226"/>
      <c r="F68" s="226"/>
      <c r="G68" s="226"/>
      <c r="H68" s="227"/>
      <c r="I68" s="225" t="s">
        <v>68</v>
      </c>
      <c r="J68" s="226"/>
      <c r="K68" s="226"/>
      <c r="L68" s="226"/>
      <c r="M68" s="227"/>
      <c r="N68" s="225" t="s">
        <v>69</v>
      </c>
      <c r="O68" s="226"/>
      <c r="P68" s="226"/>
      <c r="Q68" s="226"/>
      <c r="R68" s="227"/>
      <c r="S68" s="225" t="s">
        <v>70</v>
      </c>
      <c r="T68" s="226"/>
      <c r="U68" s="226"/>
      <c r="V68" s="226"/>
      <c r="W68" s="227"/>
      <c r="X68" s="225" t="s">
        <v>71</v>
      </c>
      <c r="Y68" s="226"/>
      <c r="Z68" s="226"/>
      <c r="AA68" s="226"/>
      <c r="AB68" s="227"/>
    </row>
    <row r="69" spans="2:28" ht="18.95" customHeight="1" x14ac:dyDescent="0.3">
      <c r="B69" s="71"/>
      <c r="C69" s="92" t="s">
        <v>22</v>
      </c>
      <c r="D69" s="289"/>
      <c r="E69" s="290"/>
      <c r="F69" s="290"/>
      <c r="G69" s="290"/>
      <c r="H69" s="291"/>
      <c r="I69" s="289"/>
      <c r="J69" s="290"/>
      <c r="K69" s="290"/>
      <c r="L69" s="290"/>
      <c r="M69" s="291"/>
      <c r="N69" s="289"/>
      <c r="O69" s="290"/>
      <c r="P69" s="290"/>
      <c r="Q69" s="290"/>
      <c r="R69" s="291"/>
      <c r="S69" s="289"/>
      <c r="T69" s="290"/>
      <c r="U69" s="290"/>
      <c r="V69" s="290"/>
      <c r="W69" s="291"/>
      <c r="X69" s="289"/>
      <c r="Y69" s="290"/>
      <c r="Z69" s="290"/>
      <c r="AA69" s="290"/>
      <c r="AB69" s="291"/>
    </row>
    <row r="70" spans="2:28" ht="18.95" customHeight="1" x14ac:dyDescent="0.3">
      <c r="B70" s="71"/>
      <c r="C70" s="91" t="s">
        <v>24</v>
      </c>
      <c r="D70" s="286">
        <v>89</v>
      </c>
      <c r="E70" s="287"/>
      <c r="F70" s="287"/>
      <c r="G70" s="287"/>
      <c r="H70" s="288"/>
      <c r="I70" s="289"/>
      <c r="J70" s="290"/>
      <c r="K70" s="290"/>
      <c r="L70" s="290"/>
      <c r="M70" s="291"/>
      <c r="N70" s="289" t="s">
        <v>299</v>
      </c>
      <c r="O70" s="290"/>
      <c r="P70" s="290"/>
      <c r="Q70" s="290"/>
      <c r="R70" s="291"/>
      <c r="S70" s="289"/>
      <c r="T70" s="290"/>
      <c r="U70" s="290"/>
      <c r="V70" s="290"/>
      <c r="W70" s="291"/>
      <c r="X70" s="289"/>
      <c r="Y70" s="290"/>
      <c r="Z70" s="290"/>
      <c r="AA70" s="290"/>
      <c r="AB70" s="291"/>
    </row>
    <row r="71" spans="2:28" ht="18.95" customHeight="1" x14ac:dyDescent="0.3">
      <c r="B71" s="71"/>
      <c r="C71" s="91" t="s">
        <v>26</v>
      </c>
      <c r="D71" s="286">
        <v>95</v>
      </c>
      <c r="E71" s="287"/>
      <c r="F71" s="287"/>
      <c r="G71" s="287"/>
      <c r="H71" s="288"/>
      <c r="I71" s="289" t="s">
        <v>66</v>
      </c>
      <c r="J71" s="290"/>
      <c r="K71" s="290"/>
      <c r="L71" s="290"/>
      <c r="M71" s="291"/>
      <c r="N71" s="289"/>
      <c r="O71" s="290"/>
      <c r="P71" s="290"/>
      <c r="Q71" s="290"/>
      <c r="R71" s="291"/>
      <c r="S71" s="289"/>
      <c r="T71" s="290"/>
      <c r="U71" s="290"/>
      <c r="V71" s="290"/>
      <c r="W71" s="291"/>
      <c r="X71" s="289"/>
      <c r="Y71" s="290"/>
      <c r="Z71" s="290"/>
      <c r="AA71" s="290"/>
      <c r="AB71" s="291"/>
    </row>
    <row r="72" spans="2:28" ht="18.95" customHeight="1" x14ac:dyDescent="0.3">
      <c r="B72" s="71"/>
      <c r="C72" s="91" t="s">
        <v>28</v>
      </c>
      <c r="D72" s="286">
        <v>82</v>
      </c>
      <c r="E72" s="287"/>
      <c r="F72" s="287"/>
      <c r="G72" s="287"/>
      <c r="H72" s="288"/>
      <c r="I72" s="289" t="s">
        <v>50</v>
      </c>
      <c r="J72" s="290"/>
      <c r="K72" s="290"/>
      <c r="L72" s="290"/>
      <c r="M72" s="291"/>
      <c r="N72" s="289"/>
      <c r="O72" s="290"/>
      <c r="P72" s="290"/>
      <c r="Q72" s="290"/>
      <c r="R72" s="291"/>
      <c r="S72" s="289"/>
      <c r="T72" s="290"/>
      <c r="U72" s="290"/>
      <c r="V72" s="290"/>
      <c r="W72" s="291"/>
      <c r="X72" s="289"/>
      <c r="Y72" s="290"/>
      <c r="Z72" s="290"/>
      <c r="AA72" s="290"/>
      <c r="AB72" s="291"/>
    </row>
    <row r="73" spans="2:28" ht="18.95" customHeight="1" x14ac:dyDescent="0.3">
      <c r="B73" s="71"/>
      <c r="C73" s="91" t="s">
        <v>30</v>
      </c>
      <c r="D73" s="289" t="s">
        <v>72</v>
      </c>
      <c r="E73" s="290"/>
      <c r="F73" s="290"/>
      <c r="G73" s="290"/>
      <c r="H73" s="291"/>
      <c r="I73" s="289" t="s">
        <v>73</v>
      </c>
      <c r="J73" s="290"/>
      <c r="K73" s="290"/>
      <c r="L73" s="290"/>
      <c r="M73" s="291"/>
      <c r="N73" s="289" t="s">
        <v>300</v>
      </c>
      <c r="O73" s="290"/>
      <c r="P73" s="290"/>
      <c r="Q73" s="290"/>
      <c r="R73" s="291"/>
      <c r="S73" s="289"/>
      <c r="T73" s="290"/>
      <c r="U73" s="290"/>
      <c r="V73" s="290"/>
      <c r="W73" s="291"/>
      <c r="X73" s="289"/>
      <c r="Y73" s="290"/>
      <c r="Z73" s="290"/>
      <c r="AA73" s="290"/>
      <c r="AB73" s="291"/>
    </row>
  </sheetData>
  <mergeCells count="255">
    <mergeCell ref="AE63:AK63"/>
    <mergeCell ref="Z54:AA54"/>
    <mergeCell ref="D52:H52"/>
    <mergeCell ref="D53:H53"/>
    <mergeCell ref="D54:H54"/>
    <mergeCell ref="D50:H50"/>
    <mergeCell ref="I50:M50"/>
    <mergeCell ref="N50:R50"/>
    <mergeCell ref="S50:W50"/>
    <mergeCell ref="I51:M51"/>
    <mergeCell ref="N51:R51"/>
    <mergeCell ref="S51:W51"/>
    <mergeCell ref="I52:M52"/>
    <mergeCell ref="N52:R52"/>
    <mergeCell ref="S52:W52"/>
    <mergeCell ref="I53:M53"/>
    <mergeCell ref="N53:R53"/>
    <mergeCell ref="S53:W53"/>
    <mergeCell ref="I54:M54"/>
    <mergeCell ref="N54:R54"/>
    <mergeCell ref="S54:W54"/>
    <mergeCell ref="D60:H60"/>
    <mergeCell ref="I60:M60"/>
    <mergeCell ref="N60:R60"/>
    <mergeCell ref="I48:M48"/>
    <mergeCell ref="N48:R48"/>
    <mergeCell ref="S48:W48"/>
    <mergeCell ref="D49:H49"/>
    <mergeCell ref="I49:M49"/>
    <mergeCell ref="N49:R49"/>
    <mergeCell ref="S49:W49"/>
    <mergeCell ref="B48:B49"/>
    <mergeCell ref="D51:H51"/>
    <mergeCell ref="D21:H21"/>
    <mergeCell ref="D30:H30"/>
    <mergeCell ref="D34:H34"/>
    <mergeCell ref="D27:H27"/>
    <mergeCell ref="D37:H37"/>
    <mergeCell ref="D43:H43"/>
    <mergeCell ref="D44:H44"/>
    <mergeCell ref="D45:H45"/>
    <mergeCell ref="D48:H48"/>
    <mergeCell ref="I21:M21"/>
    <mergeCell ref="N21:R21"/>
    <mergeCell ref="S21:W21"/>
    <mergeCell ref="B37:B38"/>
    <mergeCell ref="D22:H22"/>
    <mergeCell ref="I22:M22"/>
    <mergeCell ref="N22:R22"/>
    <mergeCell ref="S22:W22"/>
    <mergeCell ref="D23:H23"/>
    <mergeCell ref="I23:M23"/>
    <mergeCell ref="N23:R23"/>
    <mergeCell ref="S23:W23"/>
    <mergeCell ref="D24:H24"/>
    <mergeCell ref="I24:M24"/>
    <mergeCell ref="N24:R24"/>
    <mergeCell ref="S24:W24"/>
    <mergeCell ref="B26:B27"/>
    <mergeCell ref="C26:C27"/>
    <mergeCell ref="D26:H26"/>
    <mergeCell ref="I26:M26"/>
    <mergeCell ref="N26:R26"/>
    <mergeCell ref="S26:W26"/>
    <mergeCell ref="I27:M27"/>
    <mergeCell ref="N27:R27"/>
    <mergeCell ref="D18:H18"/>
    <mergeCell ref="I18:M18"/>
    <mergeCell ref="N18:R18"/>
    <mergeCell ref="S18:W18"/>
    <mergeCell ref="D19:H19"/>
    <mergeCell ref="I19:M19"/>
    <mergeCell ref="N19:R19"/>
    <mergeCell ref="S19:W19"/>
    <mergeCell ref="D20:H20"/>
    <mergeCell ref="I20:M20"/>
    <mergeCell ref="N20:R20"/>
    <mergeCell ref="S20:W20"/>
    <mergeCell ref="S14:W14"/>
    <mergeCell ref="B16:B17"/>
    <mergeCell ref="C16:C17"/>
    <mergeCell ref="D16:H16"/>
    <mergeCell ref="I16:M16"/>
    <mergeCell ref="N16:R16"/>
    <mergeCell ref="S16:W16"/>
    <mergeCell ref="I17:M17"/>
    <mergeCell ref="N17:R17"/>
    <mergeCell ref="S17:W17"/>
    <mergeCell ref="AI2:AN2"/>
    <mergeCell ref="B6:B7"/>
    <mergeCell ref="D6:H6"/>
    <mergeCell ref="I6:M6"/>
    <mergeCell ref="N6:R6"/>
    <mergeCell ref="S6:W6"/>
    <mergeCell ref="I10:M10"/>
    <mergeCell ref="N10:R10"/>
    <mergeCell ref="S10:W10"/>
    <mergeCell ref="D10:H10"/>
    <mergeCell ref="S27:W27"/>
    <mergeCell ref="D8:H8"/>
    <mergeCell ref="I8:M8"/>
    <mergeCell ref="N8:R8"/>
    <mergeCell ref="S8:W8"/>
    <mergeCell ref="D9:H9"/>
    <mergeCell ref="I9:M9"/>
    <mergeCell ref="N9:R9"/>
    <mergeCell ref="S9:W9"/>
    <mergeCell ref="D11:H11"/>
    <mergeCell ref="I11:M11"/>
    <mergeCell ref="N11:R11"/>
    <mergeCell ref="S11:W11"/>
    <mergeCell ref="D12:H12"/>
    <mergeCell ref="I12:M12"/>
    <mergeCell ref="N12:R12"/>
    <mergeCell ref="S12:W12"/>
    <mergeCell ref="D13:H13"/>
    <mergeCell ref="I13:M13"/>
    <mergeCell ref="N13:R13"/>
    <mergeCell ref="S13:W13"/>
    <mergeCell ref="D14:H14"/>
    <mergeCell ref="I14:M14"/>
    <mergeCell ref="N14:R14"/>
    <mergeCell ref="I30:M30"/>
    <mergeCell ref="N30:R30"/>
    <mergeCell ref="S30:W30"/>
    <mergeCell ref="D31:H31"/>
    <mergeCell ref="I31:M31"/>
    <mergeCell ref="N31:R31"/>
    <mergeCell ref="S31:W31"/>
    <mergeCell ref="D28:H28"/>
    <mergeCell ref="I28:M28"/>
    <mergeCell ref="N28:R28"/>
    <mergeCell ref="S28:W28"/>
    <mergeCell ref="D29:H29"/>
    <mergeCell ref="I29:M29"/>
    <mergeCell ref="N29:R29"/>
    <mergeCell ref="S29:W29"/>
    <mergeCell ref="I34:M34"/>
    <mergeCell ref="N34:R34"/>
    <mergeCell ref="S34:W34"/>
    <mergeCell ref="D32:H32"/>
    <mergeCell ref="I32:M32"/>
    <mergeCell ref="N32:R32"/>
    <mergeCell ref="S32:W32"/>
    <mergeCell ref="D33:H33"/>
    <mergeCell ref="I33:M33"/>
    <mergeCell ref="N33:R33"/>
    <mergeCell ref="S33:W33"/>
    <mergeCell ref="S37:W37"/>
    <mergeCell ref="X37:AB37"/>
    <mergeCell ref="C37:C38"/>
    <mergeCell ref="D39:H39"/>
    <mergeCell ref="D40:H40"/>
    <mergeCell ref="D41:H41"/>
    <mergeCell ref="D42:H42"/>
    <mergeCell ref="I39:M39"/>
    <mergeCell ref="I40:M40"/>
    <mergeCell ref="I41:M41"/>
    <mergeCell ref="I42:M42"/>
    <mergeCell ref="S39:W39"/>
    <mergeCell ref="S40:W40"/>
    <mergeCell ref="S41:W41"/>
    <mergeCell ref="S42:W42"/>
    <mergeCell ref="D38:H38"/>
    <mergeCell ref="X38:AB38"/>
    <mergeCell ref="S38:W38"/>
    <mergeCell ref="N38:R38"/>
    <mergeCell ref="I38:M38"/>
    <mergeCell ref="Z32:AI32"/>
    <mergeCell ref="I35:M35"/>
    <mergeCell ref="S43:W43"/>
    <mergeCell ref="S44:W44"/>
    <mergeCell ref="S45:W45"/>
    <mergeCell ref="X39:AB39"/>
    <mergeCell ref="X40:AB40"/>
    <mergeCell ref="X41:AB41"/>
    <mergeCell ref="X42:AB42"/>
    <mergeCell ref="X43:AB43"/>
    <mergeCell ref="X44:AB44"/>
    <mergeCell ref="X45:AB45"/>
    <mergeCell ref="I43:M43"/>
    <mergeCell ref="I44:M44"/>
    <mergeCell ref="I45:M45"/>
    <mergeCell ref="N39:R39"/>
    <mergeCell ref="N40:R40"/>
    <mergeCell ref="N41:R41"/>
    <mergeCell ref="N42:R42"/>
    <mergeCell ref="N43:R43"/>
    <mergeCell ref="N44:R44"/>
    <mergeCell ref="N45:R45"/>
    <mergeCell ref="I37:M37"/>
    <mergeCell ref="N37:R37"/>
    <mergeCell ref="B58:B59"/>
    <mergeCell ref="D58:H58"/>
    <mergeCell ref="I58:M58"/>
    <mergeCell ref="N58:R58"/>
    <mergeCell ref="S58:W58"/>
    <mergeCell ref="D59:H59"/>
    <mergeCell ref="I59:M59"/>
    <mergeCell ref="N59:R59"/>
    <mergeCell ref="S59:W59"/>
    <mergeCell ref="S60:W60"/>
    <mergeCell ref="D61:H61"/>
    <mergeCell ref="I61:M61"/>
    <mergeCell ref="N61:R61"/>
    <mergeCell ref="S61:W61"/>
    <mergeCell ref="D62:H62"/>
    <mergeCell ref="I62:M62"/>
    <mergeCell ref="N62:R62"/>
    <mergeCell ref="S62:W62"/>
    <mergeCell ref="B67:B68"/>
    <mergeCell ref="D67:H67"/>
    <mergeCell ref="I67:M67"/>
    <mergeCell ref="N67:R67"/>
    <mergeCell ref="S67:W67"/>
    <mergeCell ref="D68:H68"/>
    <mergeCell ref="I68:M68"/>
    <mergeCell ref="N68:R68"/>
    <mergeCell ref="S68:W68"/>
    <mergeCell ref="I71:M71"/>
    <mergeCell ref="N71:R71"/>
    <mergeCell ref="S71:W71"/>
    <mergeCell ref="D63:H63"/>
    <mergeCell ref="I63:M63"/>
    <mergeCell ref="N63:R63"/>
    <mergeCell ref="S63:W63"/>
    <mergeCell ref="D64:H64"/>
    <mergeCell ref="I64:M64"/>
    <mergeCell ref="N64:R64"/>
    <mergeCell ref="S64:W64"/>
    <mergeCell ref="D65:H65"/>
    <mergeCell ref="D72:H72"/>
    <mergeCell ref="I72:M72"/>
    <mergeCell ref="N72:R72"/>
    <mergeCell ref="S72:W72"/>
    <mergeCell ref="D73:H73"/>
    <mergeCell ref="I73:M73"/>
    <mergeCell ref="N73:R73"/>
    <mergeCell ref="S73:W73"/>
    <mergeCell ref="X67:AB67"/>
    <mergeCell ref="X68:AB68"/>
    <mergeCell ref="X69:AB69"/>
    <mergeCell ref="X70:AB70"/>
    <mergeCell ref="X71:AB71"/>
    <mergeCell ref="X72:AB72"/>
    <mergeCell ref="X73:AB73"/>
    <mergeCell ref="D69:H69"/>
    <mergeCell ref="I69:M69"/>
    <mergeCell ref="N69:R69"/>
    <mergeCell ref="S69:W69"/>
    <mergeCell ref="D70:H70"/>
    <mergeCell ref="I70:M70"/>
    <mergeCell ref="N70:R70"/>
    <mergeCell ref="S70:W70"/>
    <mergeCell ref="D71:H71"/>
  </mergeCells>
  <dataValidations count="3">
    <dataValidation allowBlank="1" showInputMessage="1" showErrorMessage="1" promptTitle="Shift Work Calendar" sqref="A2" xr:uid="{0B2746EE-5824-4226-B797-D868EFDC9BC8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989145A7-ABCC-4F66-BD09-E0CAD452E251}"/>
    <dataValidation allowBlank="1" showInputMessage="1" showErrorMessage="1" prompt="Type the year in this cell." sqref="AI2:AN2" xr:uid="{397E3CE1-1EB8-4811-AE95-234889888D2B}"/>
  </dataValidations>
  <printOptions horizontalCentered="1" verticalCentered="1"/>
  <pageMargins left="0.3" right="0.3" top="0.3" bottom="0.3" header="0.3" footer="0.3"/>
  <pageSetup scale="4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C9AC052-5724-4BFF-983E-A440B82FD5EF}">
          <x14:formula1>
            <xm:f>Sheet1!$B$13:$B$18</xm:f>
          </x14:formula1>
          <xm:sqref>D9:W9</xm:sqref>
        </x14:dataValidation>
        <x14:dataValidation type="list" allowBlank="1" showInputMessage="1" showErrorMessage="1" xr:uid="{2AECDD41-EEB4-4151-9DD9-EA71AA6FC076}">
          <x14:formula1>
            <xm:f>Sheet1!$B$48:$B$53</xm:f>
          </x14:formula1>
          <xm:sqref>D12:W14</xm:sqref>
        </x14:dataValidation>
        <x14:dataValidation type="list" allowBlank="1" showInputMessage="1" showErrorMessage="1" xr:uid="{3F3FF031-696B-4CC9-9D19-369365FC5295}">
          <x14:formula1>
            <xm:f>Sheet1!$B$39:$B$46</xm:f>
          </x14:formula1>
          <xm:sqref>D8:W8</xm:sqref>
        </x14:dataValidation>
        <x14:dataValidation type="list" allowBlank="1" showInputMessage="1" showErrorMessage="1" xr:uid="{967BBF59-41FC-4211-943A-2FF98CFF5E2E}">
          <x14:formula1>
            <xm:f>Sheet1!$B$20:$B$25</xm:f>
          </x14:formula1>
          <xm:sqref>D10:W10</xm:sqref>
        </x14:dataValidation>
        <x14:dataValidation type="list" allowBlank="1" showInputMessage="1" showErrorMessage="1" xr:uid="{124041A7-54C4-4059-A172-B2782F7D075C}">
          <x14:formula1>
            <xm:f>Sheet1!$B$3:$B$11</xm:f>
          </x14:formula1>
          <xm:sqref>D11:W11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95"/>
  <sheetViews>
    <sheetView showGridLines="0" tabSelected="1" topLeftCell="A68" zoomScaleNormal="100" workbookViewId="0">
      <selection activeCell="AA90" sqref="AA90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7" width="3.77734375" style="3" customWidth="1"/>
    <col min="8" max="8" width="10.109375" style="3" customWidth="1"/>
    <col min="9" max="12" width="3.77734375" style="3" customWidth="1"/>
    <col min="13" max="13" width="8.33203125" style="3" customWidth="1"/>
    <col min="14" max="17" width="3.77734375" style="3" customWidth="1"/>
    <col min="18" max="18" width="6.33203125" style="3" customWidth="1"/>
    <col min="19" max="22" width="3.77734375" style="3" customWidth="1"/>
    <col min="23" max="23" width="6.88671875" style="3" customWidth="1"/>
    <col min="24" max="27" width="3.77734375" style="3" customWidth="1"/>
    <col min="28" max="28" width="8.109375" style="3" customWidth="1"/>
    <col min="29" max="41" width="3.77734375" style="3" customWidth="1"/>
    <col min="42" max="16384" width="8.88671875" style="3" hidden="1"/>
  </cols>
  <sheetData>
    <row r="1" spans="2:40" ht="4.9000000000000004" customHeight="1" x14ac:dyDescent="0.3"/>
    <row r="2" spans="2:40" s="59" customFormat="1" ht="60" customHeight="1" x14ac:dyDescent="0.8">
      <c r="B2" s="62"/>
      <c r="C2" s="62"/>
      <c r="D2" s="63"/>
      <c r="E2" s="63"/>
      <c r="F2" s="63"/>
      <c r="G2" s="63"/>
      <c r="H2" s="63"/>
      <c r="I2" s="63"/>
      <c r="J2" s="63"/>
      <c r="K2" s="63"/>
      <c r="L2" s="63"/>
      <c r="M2" s="64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6"/>
      <c r="AI2" s="232">
        <f ca="1">IF(MONTH(TODAY())=12,YEAR(TODAY())+1,YEAR(TODAY()))</f>
        <v>2026</v>
      </c>
      <c r="AJ2" s="232"/>
      <c r="AK2" s="232"/>
      <c r="AL2" s="232"/>
      <c r="AM2" s="232"/>
      <c r="AN2" s="232"/>
    </row>
    <row r="3" spans="2:40" customFormat="1" ht="19.899999999999999" customHeight="1" x14ac:dyDescent="0.3">
      <c r="B3" s="70"/>
      <c r="C3" s="70"/>
    </row>
    <row r="4" spans="2:40" customFormat="1" ht="18.95" customHeight="1" x14ac:dyDescent="0.3">
      <c r="B4" s="70"/>
      <c r="C4" s="70"/>
      <c r="AD4" s="16" t="s">
        <v>2</v>
      </c>
      <c r="AE4" s="17"/>
      <c r="AF4" s="18"/>
      <c r="AG4" s="17"/>
      <c r="AH4" s="16" t="s">
        <v>3</v>
      </c>
      <c r="AI4" s="17"/>
      <c r="AJ4" s="19"/>
      <c r="AK4" s="17"/>
      <c r="AL4" s="16" t="s">
        <v>4</v>
      </c>
      <c r="AM4" s="3"/>
      <c r="AN4" s="8"/>
    </row>
    <row r="5" spans="2:40" customFormat="1" ht="21.75" customHeight="1" x14ac:dyDescent="0.3">
      <c r="B5" s="70"/>
      <c r="C5" s="70"/>
    </row>
    <row r="6" spans="2:40" s="75" customFormat="1" ht="19.899999999999999" hidden="1" customHeight="1" x14ac:dyDescent="0.3">
      <c r="B6" s="211">
        <f ca="1">DATE(CalendarYear,1,1)</f>
        <v>46023</v>
      </c>
      <c r="C6" s="82"/>
      <c r="D6" s="233" t="s">
        <v>5</v>
      </c>
      <c r="E6" s="234"/>
      <c r="F6" s="234"/>
      <c r="G6" s="234"/>
      <c r="H6" s="235"/>
      <c r="I6" s="57">
        <f ca="1">IF(DAY(JanSun1)=1,"",IF(AND(YEAR(JanSun1+6)=CalendarYear,MONTH(JanSun1+6)=1),JanSun1+6,""))</f>
        <v>46024</v>
      </c>
      <c r="J6" s="57">
        <f ca="1">IF(DAY(JanSun1)=1,IF(AND(YEAR(JanSun1)=CalendarYear,MONTH(JanSun1)=1),JanSun1,""),IF(AND(YEAR(JanSun1+7)=CalendarYear,MONTH(JanSun1+7)=1),JanSun1+7,""))</f>
        <v>46025</v>
      </c>
      <c r="K6" s="57">
        <f ca="1">IF(DAY(JanSun1)=1,IF(AND(YEAR(JanSun1+1)=CalendarYear,MONTH(JanSun1+1)=1),JanSun1+1,""),IF(AND(YEAR(JanSun1+8)=CalendarYear,MONTH(JanSun1+8)=1),JanSun1+8,""))</f>
        <v>46026</v>
      </c>
      <c r="L6" s="57">
        <f ca="1">IF(DAY(JanSun1)=1,IF(AND(YEAR(JanSun1+2)=CalendarYear,MONTH(JanSun1+2)=1),JanSun1+2,""),IF(AND(YEAR(JanSun1+9)=CalendarYear,MONTH(JanSun1+9)=1),JanSun1+9,""))</f>
        <v>46027</v>
      </c>
      <c r="M6" s="57">
        <f ca="1">IF(DAY(JanSun1)=1,IF(AND(YEAR(JanSun1+3)=CalendarYear,MONTH(JanSun1+3)=1),JanSun1+3,""),IF(AND(YEAR(JanSun1+10)=CalendarYear,MONTH(JanSun1+10)=1),JanSun1+10,""))</f>
        <v>46028</v>
      </c>
      <c r="N6" s="57">
        <f ca="1">IF(DAY(JanSun1)=1,IF(AND(YEAR(JanSun1+4)=CalendarYear,MONTH(JanSun1+4)=1),JanSun1+4,""),IF(AND(YEAR(JanSun1+11)=CalendarYear,MONTH(JanSun1+11)=1),JanSun1+11,""))</f>
        <v>46029</v>
      </c>
      <c r="O6" s="57">
        <f ca="1">IF(DAY(JanSun1)=1,IF(AND(YEAR(JanSun1+5)=CalendarYear,MONTH(JanSun1+5)=1),JanSun1+5,""),IF(AND(YEAR(JanSun1+12)=CalendarYear,MONTH(JanSun1+12)=1),JanSun1+12,""))</f>
        <v>46030</v>
      </c>
      <c r="P6" s="57">
        <f ca="1">IF(DAY(JanSun1)=1,IF(AND(YEAR(JanSun1+6)=CalendarYear,MONTH(JanSun1+6)=1),JanSun1+6,""),IF(AND(YEAR(JanSun1+13)=CalendarYear,MONTH(JanSun1+13)=1),JanSun1+13,""))</f>
        <v>46031</v>
      </c>
      <c r="Q6" s="57">
        <f ca="1">IF(DAY(JanSun1)=1,IF(AND(YEAR(JanSun1+7)=CalendarYear,MONTH(JanSun1+7)=1),JanSun1+7,""),IF(AND(YEAR(JanSun1+14)=CalendarYear,MONTH(JanSun1+14)=1),JanSun1+14,""))</f>
        <v>46032</v>
      </c>
      <c r="R6" s="57">
        <f ca="1">IF(DAY(JanSun1)=1,IF(AND(YEAR(JanSun1+8)=CalendarYear,MONTH(JanSun1+8)=1),JanSun1+8,""),IF(AND(YEAR(JanSun1+15)=CalendarYear,MONTH(JanSun1+15)=1),JanSun1+15,""))</f>
        <v>46033</v>
      </c>
      <c r="S6" s="57">
        <f ca="1">IF(DAY(JanSun1)=1,IF(AND(YEAR(JanSun1+9)=CalendarYear,MONTH(JanSun1+9)=1),JanSun1+9,""),IF(AND(YEAR(JanSun1+16)=CalendarYear,MONTH(JanSun1+16)=1),JanSun1+16,""))</f>
        <v>46034</v>
      </c>
      <c r="T6" s="57">
        <f ca="1">IF(DAY(JanSun1)=1,IF(AND(YEAR(JanSun1+10)=CalendarYear,MONTH(JanSun1+10)=1),JanSun1+10,""),IF(AND(YEAR(JanSun1+17)=CalendarYear,MONTH(JanSun1+17)=1),JanSun1+17,""))</f>
        <v>46035</v>
      </c>
      <c r="U6" s="57">
        <f ca="1">IF(DAY(JanSun1)=1,IF(AND(YEAR(JanSun1+11)=CalendarYear,MONTH(JanSun1+11)=1),JanSun1+11,""),IF(AND(YEAR(JanSun1+18)=CalendarYear,MONTH(JanSun1+18)=1),JanSun1+18,""))</f>
        <v>46036</v>
      </c>
      <c r="V6" s="57">
        <f ca="1">IF(DAY(JanSun1)=1,IF(AND(YEAR(JanSun1+12)=CalendarYear,MONTH(JanSun1+12)=1),JanSun1+12,""),IF(AND(YEAR(JanSun1+19)=CalendarYear,MONTH(JanSun1+19)=1),JanSun1+19,""))</f>
        <v>46037</v>
      </c>
      <c r="W6" s="57">
        <f ca="1">IF(DAY(JanSun1)=1,IF(AND(YEAR(JanSun1+13)=CalendarYear,MONTH(JanSun1+13)=1),JanSun1+13,""),IF(AND(YEAR(JanSun1+20)=CalendarYear,MONTH(JanSun1+20)=1),JanSun1+20,""))</f>
        <v>46038</v>
      </c>
      <c r="X6" s="57">
        <f ca="1">IF(DAY(JanSun1)=1,IF(AND(YEAR(JanSun1+14)=CalendarYear,MONTH(JanSun1+14)=1),JanSun1+14,""),IF(AND(YEAR(JanSun1+21)=CalendarYear,MONTH(JanSun1+21)=1),JanSun1+21,""))</f>
        <v>46039</v>
      </c>
      <c r="Y6" s="57">
        <f ca="1">IF(DAY(JanSun1)=1,IF(AND(YEAR(JanSun1+15)=CalendarYear,MONTH(JanSun1+15)=1),JanSun1+15,""),IF(AND(YEAR(JanSun1+22)=CalendarYear,MONTH(JanSun1+22)=1),JanSun1+22,""))</f>
        <v>46040</v>
      </c>
      <c r="Z6" s="57">
        <f ca="1">IF(DAY(JanSun1)=1,IF(AND(YEAR(JanSun1+16)=CalendarYear,MONTH(JanSun1+16)=1),JanSun1+16,""),IF(AND(YEAR(JanSun1+23)=CalendarYear,MONTH(JanSun1+23)=1),JanSun1+23,""))</f>
        <v>46041</v>
      </c>
      <c r="AA6" s="57">
        <f ca="1">IF(DAY(JanSun1)=1,IF(AND(YEAR(JanSun1+17)=CalendarYear,MONTH(JanSun1+17)=1),JanSun1+17,""),IF(AND(YEAR(JanSun1+24)=CalendarYear,MONTH(JanSun1+24)=1),JanSun1+24,""))</f>
        <v>46042</v>
      </c>
      <c r="AB6" s="57">
        <f ca="1">IF(DAY(JanSun1)=1,IF(AND(YEAR(JanSun1+18)=CalendarYear,MONTH(JanSun1+18)=1),JanSun1+18,""),IF(AND(YEAR(JanSun1+25)=CalendarYear,MONTH(JanSun1+25)=1),JanSun1+25,""))</f>
        <v>46043</v>
      </c>
      <c r="AC6" s="57">
        <f ca="1">IF(DAY(JanSun1)=1,IF(AND(YEAR(JanSun1+19)=CalendarYear,MONTH(JanSun1+19)=1),JanSun1+19,""),IF(AND(YEAR(JanSun1+26)=CalendarYear,MONTH(JanSun1+26)=1),JanSun1+26,""))</f>
        <v>46044</v>
      </c>
      <c r="AD6" s="57">
        <f ca="1">IF(DAY(JanSun1)=1,IF(AND(YEAR(JanSun1+20)=CalendarYear,MONTH(JanSun1+20)=1),JanSun1+20,""),IF(AND(YEAR(JanSun1+27)=CalendarYear,MONTH(JanSun1+27)=1),JanSun1+27,""))</f>
        <v>46045</v>
      </c>
      <c r="AE6" s="57">
        <f ca="1">IF(DAY(JanSun1)=1,IF(AND(YEAR(JanSun1+21)=CalendarYear,MONTH(JanSun1+21)=1),JanSun1+21,""),IF(AND(YEAR(JanSun1+28)=CalendarYear,MONTH(JanSun1+28)=1),JanSun1+28,""))</f>
        <v>46046</v>
      </c>
      <c r="AF6" s="57">
        <f ca="1">IF(DAY(JanSun1)=1,IF(AND(YEAR(JanSun1+22)=CalendarYear,MONTH(JanSun1+22)=1),JanSun1+22,""),IF(AND(YEAR(JanSun1+29)=CalendarYear,MONTH(JanSun1+29)=1),JanSun1+29,""))</f>
        <v>46047</v>
      </c>
      <c r="AG6" s="57">
        <f ca="1">IF(DAY(JanSun1)=1,IF(AND(YEAR(JanSun1+23)=CalendarYear,MONTH(JanSun1+23)=1),JanSun1+23,""),IF(AND(YEAR(JanSun1+30)=CalendarYear,MONTH(JanSun1+30)=1),JanSun1+30,""))</f>
        <v>46048</v>
      </c>
      <c r="AH6" s="57">
        <f ca="1">IF(DAY(JanSun1)=1,IF(AND(YEAR(JanSun1+24)=CalendarYear,MONTH(JanSun1+24)=1),JanSun1+24,""),IF(AND(YEAR(JanSun1+31)=CalendarYear,MONTH(JanSun1+31)=1),JanSun1+31,""))</f>
        <v>46049</v>
      </c>
      <c r="AI6" s="9">
        <f ca="1">IF(DAY(JanSun1)=1,IF(AND(YEAR(JanSun1+25)=CalendarYear,MONTH(JanSun1+25)=1),JanSun1+25,""),IF(AND(YEAR(JanSun1+32)=CalendarYear,MONTH(JanSun1+32)=1),JanSun1+32,""))</f>
        <v>46050</v>
      </c>
      <c r="AJ6" s="9">
        <f ca="1">IF(DAY(JanSun1)=1,IF(AND(YEAR(JanSun1+26)=CalendarYear,MONTH(JanSun1+26)=1),JanSun1+26,""),IF(AND(YEAR(JanSun1+33)=CalendarYear,MONTH(JanSun1+33)=1),JanSun1+33,""))</f>
        <v>46051</v>
      </c>
      <c r="AK6" s="9">
        <f ca="1">IF(DAY(JanSun1)=1,IF(AND(YEAR(JanSun1+27)=CalendarYear,MONTH(JanSun1+27)=1),JanSun1+27,""),IF(AND(YEAR(JanSun1+34)=CalendarYear,MONTH(JanSun1+34)=1),JanSun1+34,""))</f>
        <v>46052</v>
      </c>
      <c r="AL6" s="9">
        <f ca="1">IF(DAY(JanSun1)=1,IF(AND(YEAR(JanSun1+28)=CalendarYear,MONTH(JanSun1+28)=1),JanSun1+28,""),IF(AND(YEAR(JanSun1+35)=CalendarYear,MONTH(JanSun1+35)=1),JanSun1+35,""))</f>
        <v>46053</v>
      </c>
      <c r="AM6" s="9" t="str">
        <f ca="1">IF(DAY(JanSun1)=1,IF(AND(YEAR(JanSun1+29)=CalendarYear,MONTH(JanSun1+29)=1),JanSun1+29,""),IF(AND(YEAR(JanSun1+36)=CalendarYear,MONTH(JanSun1+36)=1),JanSun1+36,""))</f>
        <v/>
      </c>
      <c r="AN6" s="11" t="str">
        <f ca="1">IF(DAY(JanSun1)=1,IF(AND(YEAR(JanSun1+30)=CalendarYear,MONTH(JanSun1+30)=1),JanSun1+30,""),IF(AND(YEAR(JanSun1+37)=CalendarYear,MONTH(JanSun1+37)=1),JanSun1+37,""))</f>
        <v/>
      </c>
    </row>
    <row r="7" spans="2:40" s="75" customFormat="1" ht="19.899999999999999" hidden="1" customHeight="1" x14ac:dyDescent="0.3">
      <c r="B7" s="239"/>
      <c r="C7" s="90"/>
      <c r="D7" s="80" t="s">
        <v>9</v>
      </c>
      <c r="E7" s="80" t="s">
        <v>10</v>
      </c>
      <c r="F7" s="80" t="s">
        <v>11</v>
      </c>
      <c r="G7" s="80" t="s">
        <v>12</v>
      </c>
      <c r="H7" s="80" t="s">
        <v>13</v>
      </c>
      <c r="I7" s="58" t="s">
        <v>13</v>
      </c>
      <c r="J7" s="58" t="s">
        <v>14</v>
      </c>
      <c r="K7" s="58" t="s">
        <v>15</v>
      </c>
      <c r="L7" s="58" t="s">
        <v>9</v>
      </c>
      <c r="M7" s="58" t="s">
        <v>10</v>
      </c>
      <c r="N7" s="58" t="s">
        <v>11</v>
      </c>
      <c r="O7" s="58" t="s">
        <v>16</v>
      </c>
      <c r="P7" s="58" t="s">
        <v>13</v>
      </c>
      <c r="Q7" s="58" t="s">
        <v>14</v>
      </c>
      <c r="R7" s="58" t="s">
        <v>15</v>
      </c>
      <c r="S7" s="58" t="s">
        <v>9</v>
      </c>
      <c r="T7" s="58" t="s">
        <v>10</v>
      </c>
      <c r="U7" s="58" t="s">
        <v>11</v>
      </c>
      <c r="V7" s="58" t="s">
        <v>16</v>
      </c>
      <c r="W7" s="58" t="s">
        <v>13</v>
      </c>
      <c r="X7" s="58" t="s">
        <v>14</v>
      </c>
      <c r="Y7" s="58" t="s">
        <v>15</v>
      </c>
      <c r="Z7" s="58" t="s">
        <v>9</v>
      </c>
      <c r="AA7" s="58" t="s">
        <v>10</v>
      </c>
      <c r="AB7" s="58" t="s">
        <v>11</v>
      </c>
      <c r="AC7" s="58" t="s">
        <v>16</v>
      </c>
      <c r="AD7" s="58" t="s">
        <v>13</v>
      </c>
      <c r="AE7" s="58" t="s">
        <v>14</v>
      </c>
      <c r="AF7" s="58" t="s">
        <v>15</v>
      </c>
      <c r="AG7" s="58" t="s">
        <v>9</v>
      </c>
      <c r="AH7" s="58" t="s">
        <v>10</v>
      </c>
      <c r="AI7" s="79" t="s">
        <v>11</v>
      </c>
      <c r="AJ7" s="10" t="s">
        <v>16</v>
      </c>
      <c r="AK7" s="10" t="s">
        <v>13</v>
      </c>
      <c r="AL7" s="10" t="s">
        <v>14</v>
      </c>
      <c r="AM7" s="10" t="s">
        <v>15</v>
      </c>
      <c r="AN7" s="12" t="s">
        <v>9</v>
      </c>
    </row>
    <row r="8" spans="2:40" ht="19.899999999999999" hidden="1" customHeight="1" x14ac:dyDescent="0.3">
      <c r="B8" s="71" t="s">
        <v>21</v>
      </c>
      <c r="C8" s="83"/>
      <c r="D8" s="236" t="str">
        <f t="shared" ref="D8:AN8" ca="1" si="0">IF(OR(NOT(ISNUMBER(D6)),D6&lt;Job1_StartDate),"",IF(MID(Job1_Pattern,MOD(D6-Job1_StartDate,LEN(Job1_Pattern))+1,1)=Job1_Shift1_Code,1,IF(MID(Job1_Pattern,MOD(D6-Job1_StartDate,LEN(Job1_Pattern))+1,1)=Job1_Shift2_Code,2,IF(MID(Job1_Pattern,MOD(D6-Job1_StartDate,LEN(Job1_Pattern))+1,1)=Job1_Shift3_Code,3,""))))</f>
        <v/>
      </c>
      <c r="E8" s="237"/>
      <c r="F8" s="237"/>
      <c r="G8" s="237"/>
      <c r="H8" s="238"/>
      <c r="I8" s="6" t="str">
        <f t="shared" ca="1" si="0"/>
        <v/>
      </c>
      <c r="J8" s="6" t="str">
        <f t="shared" ca="1" si="0"/>
        <v/>
      </c>
      <c r="K8" s="6" t="str">
        <f t="shared" ca="1" si="0"/>
        <v/>
      </c>
      <c r="L8" s="6" t="str">
        <f t="shared" ca="1" si="0"/>
        <v/>
      </c>
      <c r="M8" s="6" t="str">
        <f t="shared" ca="1" si="0"/>
        <v/>
      </c>
      <c r="N8" s="6" t="str">
        <f t="shared" ca="1" si="0"/>
        <v/>
      </c>
      <c r="O8" s="6">
        <f t="shared" ca="1" si="0"/>
        <v>1</v>
      </c>
      <c r="P8" s="6" t="str">
        <f t="shared" ca="1" si="0"/>
        <v/>
      </c>
      <c r="Q8" s="6" t="str">
        <f t="shared" ca="1" si="0"/>
        <v/>
      </c>
      <c r="R8" s="6" t="str">
        <f t="shared" ca="1" si="0"/>
        <v/>
      </c>
      <c r="S8" s="6">
        <f t="shared" ca="1" si="0"/>
        <v>1</v>
      </c>
      <c r="T8" s="6" t="str">
        <f t="shared" ca="1" si="0"/>
        <v/>
      </c>
      <c r="U8" s="6" t="str">
        <f t="shared" ca="1" si="0"/>
        <v/>
      </c>
      <c r="V8" s="6" t="str">
        <f t="shared" ca="1" si="0"/>
        <v/>
      </c>
      <c r="W8" s="6">
        <f t="shared" ca="1" si="0"/>
        <v>1</v>
      </c>
      <c r="X8" s="6" t="str">
        <f t="shared" ca="1" si="0"/>
        <v/>
      </c>
      <c r="Y8" s="6" t="str">
        <f t="shared" ca="1" si="0"/>
        <v/>
      </c>
      <c r="Z8" s="6" t="str">
        <f t="shared" ca="1" si="0"/>
        <v/>
      </c>
      <c r="AA8" s="6">
        <f t="shared" ca="1" si="0"/>
        <v>1</v>
      </c>
      <c r="AB8" s="6" t="str">
        <f t="shared" ca="1" si="0"/>
        <v/>
      </c>
      <c r="AC8" s="6" t="str">
        <f t="shared" ca="1" si="0"/>
        <v/>
      </c>
      <c r="AD8" s="6" t="str">
        <f t="shared" ca="1" si="0"/>
        <v/>
      </c>
      <c r="AE8" s="6">
        <f t="shared" ca="1" si="0"/>
        <v>1</v>
      </c>
      <c r="AF8" s="6" t="str">
        <f t="shared" ca="1" si="0"/>
        <v/>
      </c>
      <c r="AG8" s="6" t="str">
        <f t="shared" ca="1" si="0"/>
        <v/>
      </c>
      <c r="AH8" s="6" t="str">
        <f t="shared" ca="1" si="0"/>
        <v/>
      </c>
      <c r="AI8" s="6">
        <f t="shared" ca="1" si="0"/>
        <v>1</v>
      </c>
      <c r="AJ8" s="6" t="str">
        <f t="shared" ca="1" si="0"/>
        <v/>
      </c>
      <c r="AK8" s="6" t="str">
        <f t="shared" ca="1" si="0"/>
        <v/>
      </c>
      <c r="AL8" s="6" t="str">
        <f t="shared" ca="1" si="0"/>
        <v/>
      </c>
      <c r="AM8" s="6" t="str">
        <f t="shared" ca="1" si="0"/>
        <v/>
      </c>
      <c r="AN8" s="6" t="str">
        <f t="shared" ca="1" si="0"/>
        <v/>
      </c>
    </row>
    <row r="9" spans="2:40" ht="19.899999999999999" hidden="1" customHeight="1" x14ac:dyDescent="0.3">
      <c r="B9" s="72" t="s">
        <v>23</v>
      </c>
      <c r="C9" s="84"/>
      <c r="D9" s="236" t="str">
        <f t="shared" ref="D9:AN9" ca="1" si="1">IF(OR(NOT(ISNUMBER(D6)),D6&lt;Job2_StartDate),"",IF(MID(Job2_Pattern,MOD(D6-Job2_StartDate,LEN(Job2_Pattern))+1,1)=Job2_Shift1_Code,1,IF(MID(Job2_Pattern,MOD(D6-Job2_StartDate,LEN(Job2_Pattern))+1,1)=Job2_Shift2_Code,2,IF(MID(Job2_Pattern,MOD(D6-Job2_StartDate,LEN(Job2_Pattern))+1,1)=Job2_Shift3_Code,3,""))))</f>
        <v/>
      </c>
      <c r="E9" s="237"/>
      <c r="F9" s="237"/>
      <c r="G9" s="237"/>
      <c r="H9" s="238"/>
      <c r="I9" s="7" t="str">
        <f t="shared" ca="1" si="1"/>
        <v/>
      </c>
      <c r="J9" s="7" t="str">
        <f t="shared" ca="1" si="1"/>
        <v/>
      </c>
      <c r="K9" s="7" t="str">
        <f t="shared" ca="1" si="1"/>
        <v/>
      </c>
      <c r="L9" s="7" t="str">
        <f t="shared" ca="1" si="1"/>
        <v/>
      </c>
      <c r="M9" s="7" t="str">
        <f t="shared" ca="1" si="1"/>
        <v/>
      </c>
      <c r="N9" s="7" t="str">
        <f t="shared" ca="1" si="1"/>
        <v/>
      </c>
      <c r="O9" s="7" t="str">
        <f t="shared" ca="1" si="1"/>
        <v/>
      </c>
      <c r="P9" s="7" t="str">
        <f t="shared" ca="1" si="1"/>
        <v/>
      </c>
      <c r="Q9" s="7" t="str">
        <f t="shared" ca="1" si="1"/>
        <v/>
      </c>
      <c r="R9" s="7" t="str">
        <f t="shared" ca="1" si="1"/>
        <v/>
      </c>
      <c r="S9" s="7" t="str">
        <f t="shared" ca="1" si="1"/>
        <v/>
      </c>
      <c r="T9" s="7" t="str">
        <f t="shared" ca="1" si="1"/>
        <v/>
      </c>
      <c r="U9" s="7" t="str">
        <f t="shared" ca="1" si="1"/>
        <v/>
      </c>
      <c r="V9" s="7">
        <f t="shared" ca="1" si="1"/>
        <v>2</v>
      </c>
      <c r="W9" s="7" t="str">
        <f t="shared" ca="1" si="1"/>
        <v/>
      </c>
      <c r="X9" s="7" t="str">
        <f t="shared" ca="1" si="1"/>
        <v/>
      </c>
      <c r="Y9" s="7" t="str">
        <f t="shared" ca="1" si="1"/>
        <v/>
      </c>
      <c r="Z9" s="7">
        <f t="shared" ca="1" si="1"/>
        <v>2</v>
      </c>
      <c r="AA9" s="7" t="str">
        <f t="shared" ca="1" si="1"/>
        <v/>
      </c>
      <c r="AB9" s="7" t="str">
        <f t="shared" ca="1" si="1"/>
        <v/>
      </c>
      <c r="AC9" s="7" t="str">
        <f t="shared" ca="1" si="1"/>
        <v/>
      </c>
      <c r="AD9" s="7">
        <f t="shared" ca="1" si="1"/>
        <v>2</v>
      </c>
      <c r="AE9" s="7" t="str">
        <f t="shared" ca="1" si="1"/>
        <v/>
      </c>
      <c r="AF9" s="7" t="str">
        <f t="shared" ca="1" si="1"/>
        <v/>
      </c>
      <c r="AG9" s="7" t="str">
        <f t="shared" ca="1" si="1"/>
        <v/>
      </c>
      <c r="AH9" s="7">
        <f t="shared" ca="1" si="1"/>
        <v>2</v>
      </c>
      <c r="AI9" s="7" t="str">
        <f t="shared" ca="1" si="1"/>
        <v/>
      </c>
      <c r="AJ9" s="7" t="str">
        <f t="shared" ca="1" si="1"/>
        <v/>
      </c>
      <c r="AK9" s="7" t="str">
        <f t="shared" ca="1" si="1"/>
        <v/>
      </c>
      <c r="AL9" s="7">
        <f t="shared" ca="1" si="1"/>
        <v>2</v>
      </c>
      <c r="AM9" s="7" t="str">
        <f t="shared" ca="1" si="1"/>
        <v/>
      </c>
      <c r="AN9" s="7" t="str">
        <f t="shared" ca="1" si="1"/>
        <v/>
      </c>
    </row>
    <row r="10" spans="2:40" ht="19.899999999999999" hidden="1" customHeight="1" x14ac:dyDescent="0.3">
      <c r="B10" s="72" t="s">
        <v>25</v>
      </c>
      <c r="C10" s="84"/>
      <c r="D10" s="236"/>
      <c r="E10" s="237"/>
      <c r="F10" s="237"/>
      <c r="G10" s="237"/>
      <c r="H10" s="23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2:40" ht="19.899999999999999" hidden="1" customHeight="1" x14ac:dyDescent="0.3">
      <c r="B11" s="72" t="s">
        <v>27</v>
      </c>
      <c r="C11" s="84"/>
      <c r="D11" s="236"/>
      <c r="E11" s="237"/>
      <c r="F11" s="237"/>
      <c r="G11" s="237"/>
      <c r="H11" s="23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2:40" ht="19.899999999999999" hidden="1" customHeight="1" x14ac:dyDescent="0.3">
      <c r="B12" s="72"/>
      <c r="C12" s="7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2:40" ht="19.899999999999999" hidden="1" customHeight="1" x14ac:dyDescent="0.3">
      <c r="B13" s="72"/>
      <c r="C13" s="7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2:40" ht="19.899999999999999" hidden="1" customHeight="1" x14ac:dyDescent="0.3">
      <c r="B14" s="73"/>
      <c r="C14" s="73"/>
      <c r="D14" s="7" t="str">
        <f t="shared" ref="D14:AN14" ca="1" si="2">IF(OR(NOT(ISNUMBER(D6)),D6&lt;Job3_StartDate),"",IF(MID(Job3_Pattern,MOD(D6-Job3_StartDate,LEN(Job3_Pattern))+1,1)=Job3_Shift1_Code,1,IF(MID(Job3_Pattern,MOD(D6-Job3_StartDate,LEN(Job3_Pattern))+1,1)=Job3_Shift2_Code,2,IF(MID(Job3_Pattern,MOD(D6-Job3_StartDate,LEN(Job3_Pattern))+1,1)=Job3_Shift3_Code,3,""))))</f>
        <v/>
      </c>
      <c r="E14" s="7" t="str">
        <f t="shared" ca="1" si="2"/>
        <v/>
      </c>
      <c r="F14" s="7" t="str">
        <f t="shared" ca="1" si="2"/>
        <v/>
      </c>
      <c r="G14" s="7" t="str">
        <f t="shared" ca="1" si="2"/>
        <v/>
      </c>
      <c r="H14" s="7" t="str">
        <f t="shared" ca="1" si="2"/>
        <v/>
      </c>
      <c r="I14" s="7" t="str">
        <f t="shared" ca="1" si="2"/>
        <v/>
      </c>
      <c r="J14" s="7" t="str">
        <f t="shared" ca="1" si="2"/>
        <v/>
      </c>
      <c r="K14" s="7" t="str">
        <f t="shared" ca="1" si="2"/>
        <v/>
      </c>
      <c r="L14" s="7" t="str">
        <f t="shared" ca="1" si="2"/>
        <v/>
      </c>
      <c r="M14" s="7" t="str">
        <f t="shared" ca="1" si="2"/>
        <v/>
      </c>
      <c r="N14" s="7" t="str">
        <f t="shared" ca="1" si="2"/>
        <v/>
      </c>
      <c r="O14" s="7" t="str">
        <f t="shared" ca="1" si="2"/>
        <v/>
      </c>
      <c r="P14" s="7" t="str">
        <f t="shared" ca="1" si="2"/>
        <v/>
      </c>
      <c r="Q14" s="7" t="str">
        <f t="shared" ca="1" si="2"/>
        <v/>
      </c>
      <c r="R14" s="7" t="str">
        <f t="shared" ca="1" si="2"/>
        <v/>
      </c>
      <c r="S14" s="7" t="str">
        <f t="shared" ca="1" si="2"/>
        <v/>
      </c>
      <c r="T14" s="7" t="str">
        <f t="shared" ca="1" si="2"/>
        <v/>
      </c>
      <c r="U14" s="7" t="str">
        <f t="shared" ca="1" si="2"/>
        <v/>
      </c>
      <c r="V14" s="7" t="str">
        <f t="shared" ca="1" si="2"/>
        <v/>
      </c>
      <c r="W14" s="7" t="str">
        <f t="shared" ca="1" si="2"/>
        <v/>
      </c>
      <c r="X14" s="7" t="str">
        <f t="shared" ca="1" si="2"/>
        <v/>
      </c>
      <c r="Y14" s="7" t="str">
        <f t="shared" ca="1" si="2"/>
        <v/>
      </c>
      <c r="Z14" s="7" t="str">
        <f t="shared" ca="1" si="2"/>
        <v/>
      </c>
      <c r="AA14" s="7">
        <f t="shared" ca="1" si="2"/>
        <v>3</v>
      </c>
      <c r="AB14" s="7" t="str">
        <f t="shared" ca="1" si="2"/>
        <v/>
      </c>
      <c r="AC14" s="7" t="str">
        <f t="shared" ca="1" si="2"/>
        <v/>
      </c>
      <c r="AD14" s="7" t="str">
        <f t="shared" ca="1" si="2"/>
        <v/>
      </c>
      <c r="AE14" s="7">
        <f t="shared" ca="1" si="2"/>
        <v>3</v>
      </c>
      <c r="AF14" s="7" t="str">
        <f t="shared" ca="1" si="2"/>
        <v/>
      </c>
      <c r="AG14" s="7" t="str">
        <f t="shared" ca="1" si="2"/>
        <v/>
      </c>
      <c r="AH14" s="7" t="str">
        <f t="shared" ca="1" si="2"/>
        <v/>
      </c>
      <c r="AI14" s="7">
        <f t="shared" ca="1" si="2"/>
        <v>3</v>
      </c>
      <c r="AJ14" s="7" t="str">
        <f t="shared" ca="1" si="2"/>
        <v/>
      </c>
      <c r="AK14" s="7" t="str">
        <f t="shared" ca="1" si="2"/>
        <v/>
      </c>
      <c r="AL14" s="7" t="str">
        <f t="shared" ca="1" si="2"/>
        <v/>
      </c>
      <c r="AM14" s="7" t="str">
        <f t="shared" ca="1" si="2"/>
        <v/>
      </c>
      <c r="AN14" s="7" t="str">
        <f t="shared" ca="1" si="2"/>
        <v/>
      </c>
    </row>
    <row r="15" spans="2:40" ht="19.899999999999999" customHeight="1" thickBot="1" x14ac:dyDescent="0.35">
      <c r="B15" s="74"/>
      <c r="C15" s="74"/>
    </row>
    <row r="16" spans="2:40" s="76" customFormat="1" ht="19.899999999999999" customHeight="1" x14ac:dyDescent="0.3">
      <c r="B16" s="240">
        <f ca="1">DATE(CalendarYear,2,1)</f>
        <v>46054</v>
      </c>
      <c r="C16" s="228" t="s">
        <v>17</v>
      </c>
      <c r="D16" s="213" t="s">
        <v>5</v>
      </c>
      <c r="E16" s="214"/>
      <c r="F16" s="214"/>
      <c r="G16" s="214"/>
      <c r="H16" s="215"/>
      <c r="I16" s="213" t="s">
        <v>6</v>
      </c>
      <c r="J16" s="214"/>
      <c r="K16" s="214"/>
      <c r="L16" s="214"/>
      <c r="M16" s="215"/>
      <c r="N16" s="213" t="s">
        <v>7</v>
      </c>
      <c r="O16" s="214"/>
      <c r="P16" s="214"/>
      <c r="Q16" s="214"/>
      <c r="R16" s="215"/>
      <c r="S16" s="213" t="s">
        <v>8</v>
      </c>
      <c r="T16" s="214"/>
      <c r="U16" s="214"/>
      <c r="V16" s="214"/>
      <c r="W16" s="215"/>
      <c r="X16" s="89"/>
      <c r="Y16" s="9"/>
      <c r="Z16" s="9"/>
      <c r="AA16" s="9"/>
      <c r="AB16" s="9"/>
      <c r="AC16" s="9"/>
      <c r="AD16" s="9"/>
      <c r="AE16" s="9"/>
      <c r="AF16" s="9" t="str">
        <f ca="1">IF(DAY(FebSun1)=1,IF(AND(YEAR(FebSun1+22)=CalendarYear,MONTH(FebSun1+22)=2),FebSun1+22,""),IF(AND(YEAR(FebSun1+29)=CalendarYear,MONTH(FebSun1+29)=2),FebSun1+29,""))</f>
        <v/>
      </c>
      <c r="AG16" s="9" t="str">
        <f ca="1">IF(DAY(FebSun1)=1,IF(AND(YEAR(FebSun1+23)=CalendarYear,MONTH(FebSun1+23)=2),FebSun1+23,""),IF(AND(YEAR(FebSun1+30)=CalendarYear,MONTH(FebSun1+30)=2),FebSun1+30,""))</f>
        <v/>
      </c>
      <c r="AH16" s="9" t="str">
        <f ca="1">IF(DAY(FebSun1)=1,IF(AND(YEAR(FebSun1+24)=CalendarYear,MONTH(FebSun1+24)=2),FebSun1+24,""),IF(AND(YEAR(FebSun1+31)=CalendarYear,MONTH(FebSun1+31)=2),FebSun1+31,""))</f>
        <v/>
      </c>
      <c r="AI16" s="9" t="str">
        <f ca="1">IF(DAY(FebSun1)=1,IF(AND(YEAR(FebSun1+25)=CalendarYear,MONTH(FebSun1+25)=2),FebSun1+25,""),IF(AND(YEAR(FebSun1+32)=CalendarYear,MONTH(FebSun1+32)=2),FebSun1+32,""))</f>
        <v/>
      </c>
      <c r="AJ16" s="9" t="str">
        <f ca="1">IF(DAY(FebSun1)=1,IF(AND(YEAR(FebSun1+26)=CalendarYear,MONTH(FebSun1+26)=2),FebSun1+26,""),IF(AND(YEAR(FebSun1+33)=CalendarYear,MONTH(FebSun1+33)=2),FebSun1+33,""))</f>
        <v/>
      </c>
      <c r="AK16" s="9" t="str">
        <f ca="1">IF(DAY(FebSun1)=1,IF(AND(YEAR(FebSun1+27)=CalendarYear,MONTH(FebSun1+27)=2),FebSun1+27,""),IF(AND(YEAR(FebSun1+34)=CalendarYear,MONTH(FebSun1+34)=2),FebSun1+34,""))</f>
        <v/>
      </c>
      <c r="AL16" s="9" t="str">
        <f ca="1">IF(DAY(FebSun1)=1,IF(AND(YEAR(FebSun1+28)=CalendarYear,MONTH(FebSun1+28)=2),FebSun1+28,""),IF(AND(YEAR(FebSun1+35)=CalendarYear,MONTH(FebSun1+35)=2),FebSun1+35,""))</f>
        <v/>
      </c>
      <c r="AM16" s="9" t="str">
        <f ca="1">IF(DAY(FebSun1)=1,IF(AND(YEAR(FebSun1+29)=CalendarYear,MONTH(FebSun1+29)=2),FebSun1+29,""),IF(AND(YEAR(FebSun1+36)=CalendarYear,MONTH(FebSun1+36)=2),FebSun1+36,""))</f>
        <v/>
      </c>
      <c r="AN16" s="11" t="str">
        <f ca="1">IF(DAY(FebSun1)=1,IF(AND(YEAR(FebSun1+30)=CalendarYear,MONTH(FebSun1+30)=2),FebSun1+30,""),IF(AND(YEAR(FebSun1+37)=CalendarYear,MONTH(FebSun1+37)=2),FebSun1+37,""))</f>
        <v/>
      </c>
    </row>
    <row r="17" spans="2:40" s="76" customFormat="1" ht="19.899999999999999" customHeight="1" x14ac:dyDescent="0.3">
      <c r="B17" s="239"/>
      <c r="C17" s="228"/>
      <c r="D17" s="87" t="s">
        <v>9</v>
      </c>
      <c r="E17" s="80" t="s">
        <v>10</v>
      </c>
      <c r="F17" s="80" t="s">
        <v>11</v>
      </c>
      <c r="G17" s="80" t="s">
        <v>12</v>
      </c>
      <c r="H17" s="88" t="s">
        <v>13</v>
      </c>
      <c r="I17" s="87" t="s">
        <v>9</v>
      </c>
      <c r="J17" s="80" t="s">
        <v>10</v>
      </c>
      <c r="K17" s="80" t="s">
        <v>11</v>
      </c>
      <c r="L17" s="80" t="s">
        <v>12</v>
      </c>
      <c r="M17" s="88" t="s">
        <v>13</v>
      </c>
      <c r="N17" s="87" t="s">
        <v>9</v>
      </c>
      <c r="O17" s="80" t="s">
        <v>10</v>
      </c>
      <c r="P17" s="80" t="s">
        <v>11</v>
      </c>
      <c r="Q17" s="80" t="s">
        <v>12</v>
      </c>
      <c r="R17" s="88" t="s">
        <v>13</v>
      </c>
      <c r="S17" s="87" t="s">
        <v>9</v>
      </c>
      <c r="T17" s="80" t="s">
        <v>10</v>
      </c>
      <c r="U17" s="80" t="s">
        <v>11</v>
      </c>
      <c r="V17" s="80" t="s">
        <v>12</v>
      </c>
      <c r="W17" s="88" t="s">
        <v>13</v>
      </c>
      <c r="X17" s="79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2"/>
    </row>
    <row r="18" spans="2:40" ht="19.899999999999999" customHeight="1" x14ac:dyDescent="0.3">
      <c r="B18" s="83" t="s">
        <v>21</v>
      </c>
      <c r="C18" s="92" t="s">
        <v>22</v>
      </c>
      <c r="D18" s="229" t="s">
        <v>74</v>
      </c>
      <c r="E18" s="230"/>
      <c r="F18" s="230"/>
      <c r="G18" s="230"/>
      <c r="H18" s="231"/>
      <c r="I18" s="229" t="s">
        <v>75</v>
      </c>
      <c r="J18" s="230"/>
      <c r="K18" s="230"/>
      <c r="L18" s="230"/>
      <c r="M18" s="231"/>
      <c r="N18" s="229" t="s">
        <v>76</v>
      </c>
      <c r="O18" s="230"/>
      <c r="P18" s="230"/>
      <c r="Q18" s="230"/>
      <c r="R18" s="231"/>
      <c r="S18" s="229" t="s">
        <v>77</v>
      </c>
      <c r="T18" s="230"/>
      <c r="U18" s="230"/>
      <c r="V18" s="230"/>
      <c r="W18" s="231"/>
      <c r="X18" s="8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2:40" ht="19.899999999999999" customHeight="1" x14ac:dyDescent="0.3">
      <c r="B19" s="84" t="s">
        <v>23</v>
      </c>
      <c r="C19" s="91" t="s">
        <v>24</v>
      </c>
      <c r="D19" s="229" t="s">
        <v>78</v>
      </c>
      <c r="E19" s="230"/>
      <c r="F19" s="230"/>
      <c r="G19" s="230"/>
      <c r="H19" s="231"/>
      <c r="I19" s="229" t="s">
        <v>79</v>
      </c>
      <c r="J19" s="230"/>
      <c r="K19" s="230"/>
      <c r="L19" s="230"/>
      <c r="M19" s="231"/>
      <c r="N19" s="229" t="s">
        <v>80</v>
      </c>
      <c r="O19" s="230"/>
      <c r="P19" s="230"/>
      <c r="Q19" s="230"/>
      <c r="R19" s="231"/>
      <c r="S19" s="229" t="s">
        <v>81</v>
      </c>
      <c r="T19" s="230"/>
      <c r="U19" s="230"/>
      <c r="V19" s="230"/>
      <c r="W19" s="231"/>
      <c r="X19" s="81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2:40" ht="19.899999999999999" customHeight="1" x14ac:dyDescent="0.3">
      <c r="B20" s="84" t="s">
        <v>25</v>
      </c>
      <c r="C20" s="91" t="s">
        <v>26</v>
      </c>
      <c r="D20" s="229" t="s">
        <v>82</v>
      </c>
      <c r="E20" s="230"/>
      <c r="F20" s="230"/>
      <c r="G20" s="230"/>
      <c r="H20" s="231"/>
      <c r="I20" s="229" t="s">
        <v>83</v>
      </c>
      <c r="J20" s="230"/>
      <c r="K20" s="230"/>
      <c r="L20" s="230"/>
      <c r="M20" s="231"/>
      <c r="N20" s="229" t="s">
        <v>82</v>
      </c>
      <c r="O20" s="230"/>
      <c r="P20" s="230"/>
      <c r="Q20" s="230"/>
      <c r="R20" s="231"/>
      <c r="S20" s="229" t="s">
        <v>83</v>
      </c>
      <c r="T20" s="230"/>
      <c r="U20" s="230"/>
      <c r="V20" s="230"/>
      <c r="W20" s="231"/>
      <c r="X20" s="81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2:40" ht="19.899999999999999" customHeight="1" x14ac:dyDescent="0.3">
      <c r="B21" s="84" t="s">
        <v>27</v>
      </c>
      <c r="C21" s="91" t="s">
        <v>28</v>
      </c>
      <c r="D21" s="229" t="s">
        <v>84</v>
      </c>
      <c r="E21" s="230"/>
      <c r="F21" s="230"/>
      <c r="G21" s="230"/>
      <c r="H21" s="231"/>
      <c r="I21" s="229" t="s">
        <v>85</v>
      </c>
      <c r="J21" s="230"/>
      <c r="K21" s="230"/>
      <c r="L21" s="230"/>
      <c r="M21" s="231"/>
      <c r="N21" s="229" t="s">
        <v>86</v>
      </c>
      <c r="O21" s="230"/>
      <c r="P21" s="230"/>
      <c r="Q21" s="230"/>
      <c r="R21" s="231"/>
      <c r="S21" s="229" t="s">
        <v>87</v>
      </c>
      <c r="T21" s="230"/>
      <c r="U21" s="230"/>
      <c r="V21" s="230"/>
      <c r="W21" s="231"/>
      <c r="X21" s="81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2:40" ht="19.899999999999999" customHeight="1" x14ac:dyDescent="0.3">
      <c r="B22" s="84" t="s">
        <v>29</v>
      </c>
      <c r="C22" s="91" t="s">
        <v>30</v>
      </c>
      <c r="D22" s="193" t="s">
        <v>88</v>
      </c>
      <c r="E22" s="194"/>
      <c r="F22" s="194"/>
      <c r="G22" s="194"/>
      <c r="H22" s="195"/>
      <c r="I22" s="193" t="s">
        <v>89</v>
      </c>
      <c r="J22" s="194"/>
      <c r="K22" s="194"/>
      <c r="L22" s="194"/>
      <c r="M22" s="195"/>
      <c r="N22" s="193" t="s">
        <v>90</v>
      </c>
      <c r="O22" s="194"/>
      <c r="P22" s="194"/>
      <c r="Q22" s="194"/>
      <c r="R22" s="195"/>
      <c r="S22" s="193" t="s">
        <v>91</v>
      </c>
      <c r="T22" s="194"/>
      <c r="U22" s="194"/>
      <c r="V22" s="194"/>
      <c r="W22" s="195"/>
      <c r="X22" s="81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2:40" ht="19.899999999999999" customHeight="1" x14ac:dyDescent="0.3">
      <c r="B23" s="84" t="s">
        <v>31</v>
      </c>
      <c r="C23" s="91" t="s">
        <v>30</v>
      </c>
      <c r="D23" s="193" t="s">
        <v>89</v>
      </c>
      <c r="E23" s="194"/>
      <c r="F23" s="194"/>
      <c r="G23" s="194"/>
      <c r="H23" s="195"/>
      <c r="I23" s="193" t="s">
        <v>90</v>
      </c>
      <c r="J23" s="194"/>
      <c r="K23" s="194"/>
      <c r="L23" s="194"/>
      <c r="M23" s="195"/>
      <c r="N23" s="193" t="s">
        <v>91</v>
      </c>
      <c r="O23" s="194"/>
      <c r="P23" s="194"/>
      <c r="Q23" s="194"/>
      <c r="R23" s="195"/>
      <c r="S23" s="193" t="s">
        <v>92</v>
      </c>
      <c r="T23" s="194"/>
      <c r="U23" s="194"/>
      <c r="V23" s="194"/>
      <c r="W23" s="195"/>
      <c r="X23" s="81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 ht="19.899999999999999" customHeight="1" x14ac:dyDescent="0.3">
      <c r="B24" s="85" t="s">
        <v>32</v>
      </c>
      <c r="C24" s="91" t="s">
        <v>30</v>
      </c>
      <c r="D24" s="193" t="s">
        <v>91</v>
      </c>
      <c r="E24" s="194"/>
      <c r="F24" s="194"/>
      <c r="G24" s="194"/>
      <c r="H24" s="195"/>
      <c r="I24" s="193" t="s">
        <v>93</v>
      </c>
      <c r="J24" s="194"/>
      <c r="K24" s="194"/>
      <c r="L24" s="194"/>
      <c r="M24" s="195"/>
      <c r="N24" s="193" t="s">
        <v>92</v>
      </c>
      <c r="O24" s="194"/>
      <c r="P24" s="194"/>
      <c r="Q24" s="194"/>
      <c r="R24" s="195"/>
      <c r="S24" s="193" t="s">
        <v>90</v>
      </c>
      <c r="T24" s="194"/>
      <c r="U24" s="194"/>
      <c r="V24" s="194"/>
      <c r="W24" s="195"/>
      <c r="X24" s="81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2:40" ht="19.899999999999999" customHeight="1" thickBot="1" x14ac:dyDescent="0.35">
      <c r="B25" s="74"/>
      <c r="C25" s="74"/>
    </row>
    <row r="26" spans="2:40" s="75" customFormat="1" ht="19.899999999999999" customHeight="1" x14ac:dyDescent="0.3">
      <c r="B26" s="211">
        <f ca="1">DATE(CalendarYear,3,1)</f>
        <v>46082</v>
      </c>
      <c r="C26" s="77"/>
      <c r="D26" s="213" t="s">
        <v>5</v>
      </c>
      <c r="E26" s="214"/>
      <c r="F26" s="214"/>
      <c r="G26" s="214"/>
      <c r="H26" s="215"/>
      <c r="I26" s="213" t="s">
        <v>6</v>
      </c>
      <c r="J26" s="214"/>
      <c r="K26" s="214"/>
      <c r="L26" s="214"/>
      <c r="M26" s="215"/>
      <c r="N26" s="213" t="s">
        <v>7</v>
      </c>
      <c r="O26" s="214"/>
      <c r="P26" s="214"/>
      <c r="Q26" s="214"/>
      <c r="R26" s="215"/>
      <c r="S26" s="213" t="s">
        <v>8</v>
      </c>
      <c r="T26" s="214"/>
      <c r="U26" s="214"/>
      <c r="V26" s="214"/>
      <c r="W26" s="215"/>
      <c r="X26" s="9">
        <f ca="1">IF(DAY(MarSun1)=1,IF(AND(YEAR(MarSun1+14)=CalendarYear,MONTH(MarSun1+14)=3),MarSun1+14,""),IF(AND(YEAR(MarSun1+21)=CalendarYear,MONTH(MarSun1+21)=3),MarSun1+21,""))</f>
        <v>46102</v>
      </c>
      <c r="Y26" s="9">
        <f ca="1">IF(DAY(MarSun1)=1,IF(AND(YEAR(MarSun1+15)=CalendarYear,MONTH(MarSun1+15)=3),MarSun1+15,""),IF(AND(YEAR(MarSun1+22)=CalendarYear,MONTH(MarSun1+22)=3),MarSun1+22,""))</f>
        <v>46103</v>
      </c>
      <c r="Z26" s="9">
        <f ca="1">IF(DAY(MarSun1)=1,IF(AND(YEAR(MarSun1+16)=CalendarYear,MONTH(MarSun1+16)=3),MarSun1+16,""),IF(AND(YEAR(MarSun1+23)=CalendarYear,MONTH(MarSun1+23)=3),MarSun1+23,""))</f>
        <v>46104</v>
      </c>
      <c r="AA26" s="9">
        <f ca="1">IF(DAY(MarSun1)=1,IF(AND(YEAR(MarSun1+17)=CalendarYear,MONTH(MarSun1+17)=3),MarSun1+17,""),IF(AND(YEAR(MarSun1+24)=CalendarYear,MONTH(MarSun1+24)=3),MarSun1+24,""))</f>
        <v>46105</v>
      </c>
      <c r="AB26" s="9">
        <f ca="1">IF(DAY(MarSun1)=1,IF(AND(YEAR(MarSun1+18)=CalendarYear,MONTH(MarSun1+18)=3),MarSun1+18,""),IF(AND(YEAR(MarSun1+25)=CalendarYear,MONTH(MarSun1+25)=3),MarSun1+25,""))</f>
        <v>46106</v>
      </c>
      <c r="AC26" s="9">
        <f ca="1">IF(DAY(MarSun1)=1,IF(AND(YEAR(MarSun1+19)=CalendarYear,MONTH(MarSun1+19)=3),MarSun1+19,""),IF(AND(YEAR(MarSun1+26)=CalendarYear,MONTH(MarSun1+26)=3),MarSun1+26,""))</f>
        <v>46107</v>
      </c>
      <c r="AD26" s="9">
        <f ca="1">IF(DAY(MarSun1)=1,IF(AND(YEAR(MarSun1+20)=CalendarYear,MONTH(MarSun1+20)=3),MarSun1+20,""),IF(AND(YEAR(MarSun1+27)=CalendarYear,MONTH(MarSun1+27)=3),MarSun1+27,""))</f>
        <v>46108</v>
      </c>
      <c r="AE26" s="9">
        <f ca="1">IF(DAY(MarSun1)=1,IF(AND(YEAR(MarSun1+21)=CalendarYear,MONTH(MarSun1+21)=3),MarSun1+21,""),IF(AND(YEAR(MarSun1+28)=CalendarYear,MONTH(MarSun1+28)=3),MarSun1+28,""))</f>
        <v>46109</v>
      </c>
      <c r="AF26" s="9">
        <f ca="1">IF(DAY(MarSun1)=1,IF(AND(YEAR(MarSun1+22)=CalendarYear,MONTH(MarSun1+22)=3),MarSun1+22,""),IF(AND(YEAR(MarSun1+29)=CalendarYear,MONTH(MarSun1+29)=3),MarSun1+29,""))</f>
        <v>46110</v>
      </c>
      <c r="AG26" s="9">
        <f ca="1">IF(DAY(MarSun1)=1,IF(AND(YEAR(MarSun1+23)=CalendarYear,MONTH(MarSun1+23)=3),MarSun1+23,""),IF(AND(YEAR(MarSun1+30)=CalendarYear,MONTH(MarSun1+30)=3),MarSun1+30,""))</f>
        <v>46111</v>
      </c>
      <c r="AH26" s="9">
        <f ca="1">IF(DAY(MarSun1)=1,IF(AND(YEAR(MarSun1+24)=CalendarYear,MONTH(MarSun1+24)=3),MarSun1+24,""),IF(AND(YEAR(MarSun1+31)=CalendarYear,MONTH(MarSun1+31)=3),MarSun1+31,""))</f>
        <v>46112</v>
      </c>
      <c r="AI26" s="9" t="str">
        <f ca="1">IF(DAY(MarSun1)=1,IF(AND(YEAR(MarSun1+25)=CalendarYear,MONTH(MarSun1+25)=3),MarSun1+25,""),IF(AND(YEAR(MarSun1+32)=CalendarYear,MONTH(MarSun1+32)=3),MarSun1+32,""))</f>
        <v/>
      </c>
      <c r="AJ26" s="9" t="str">
        <f ca="1">IF(DAY(MarSun1)=1,IF(AND(YEAR(MarSun1+26)=CalendarYear,MONTH(MarSun1+26)=3),MarSun1+26,""),IF(AND(YEAR(MarSun1+33)=CalendarYear,MONTH(MarSun1+33)=3),MarSun1+33,""))</f>
        <v/>
      </c>
      <c r="AK26" s="9" t="str">
        <f ca="1">IF(DAY(MarSun1)=1,IF(AND(YEAR(MarSun1+27)=CalendarYear,MONTH(MarSun1+27)=3),MarSun1+27,""),IF(AND(YEAR(MarSun1+34)=CalendarYear,MONTH(MarSun1+34)=3),MarSun1+34,""))</f>
        <v/>
      </c>
      <c r="AL26" s="9" t="str">
        <f ca="1">IF(DAY(MarSun1)=1,IF(AND(YEAR(MarSun1+28)=CalendarYear,MONTH(MarSun1+28)=3),MarSun1+28,""),IF(AND(YEAR(MarSun1+35)=CalendarYear,MONTH(MarSun1+35)=3),MarSun1+35,""))</f>
        <v/>
      </c>
      <c r="AM26" s="9" t="str">
        <f ca="1">IF(DAY(MarSun1)=1,IF(AND(YEAR(MarSun1+29)=CalendarYear,MONTH(MarSun1+29)=3),MarSun1+29,""),IF(AND(YEAR(MarSun1+36)=CalendarYear,MONTH(MarSun1+36)=3),MarSun1+36,""))</f>
        <v/>
      </c>
      <c r="AN26" s="11" t="str">
        <f ca="1">IF(DAY(MarSun1)=1,IF(AND(YEAR(MarSun1+30)=CalendarYear,MONTH(MarSun1+30)=3),MarSun1+30,""),IF(AND(YEAR(MarSun1+37)=CalendarYear,MONTH(MarSun1+37)=3),MarSun1+37,""))</f>
        <v/>
      </c>
    </row>
    <row r="27" spans="2:40" s="75" customFormat="1" ht="19.899999999999999" customHeight="1" x14ac:dyDescent="0.3">
      <c r="B27" s="212"/>
      <c r="C27" s="78"/>
      <c r="D27" s="87" t="s">
        <v>9</v>
      </c>
      <c r="E27" s="80" t="s">
        <v>10</v>
      </c>
      <c r="F27" s="80" t="s">
        <v>11</v>
      </c>
      <c r="G27" s="80" t="s">
        <v>12</v>
      </c>
      <c r="H27" s="88" t="s">
        <v>13</v>
      </c>
      <c r="I27" s="87" t="s">
        <v>9</v>
      </c>
      <c r="J27" s="80" t="s">
        <v>10</v>
      </c>
      <c r="K27" s="80" t="s">
        <v>11</v>
      </c>
      <c r="L27" s="80" t="s">
        <v>12</v>
      </c>
      <c r="M27" s="88" t="s">
        <v>13</v>
      </c>
      <c r="N27" s="87" t="s">
        <v>9</v>
      </c>
      <c r="O27" s="80" t="s">
        <v>10</v>
      </c>
      <c r="P27" s="80" t="s">
        <v>11</v>
      </c>
      <c r="Q27" s="80" t="s">
        <v>12</v>
      </c>
      <c r="R27" s="88" t="s">
        <v>13</v>
      </c>
      <c r="S27" s="87" t="s">
        <v>9</v>
      </c>
      <c r="T27" s="80" t="s">
        <v>10</v>
      </c>
      <c r="U27" s="80" t="s">
        <v>11</v>
      </c>
      <c r="V27" s="80" t="s">
        <v>12</v>
      </c>
      <c r="W27" s="88" t="s">
        <v>13</v>
      </c>
      <c r="X27" s="10" t="s">
        <v>14</v>
      </c>
      <c r="Y27" s="10" t="s">
        <v>15</v>
      </c>
      <c r="Z27" s="10" t="s">
        <v>9</v>
      </c>
      <c r="AA27" s="10" t="s">
        <v>10</v>
      </c>
      <c r="AB27" s="10" t="s">
        <v>11</v>
      </c>
      <c r="AC27" s="10" t="s">
        <v>16</v>
      </c>
      <c r="AD27" s="10" t="s">
        <v>13</v>
      </c>
      <c r="AE27" s="10" t="s">
        <v>14</v>
      </c>
      <c r="AF27" s="10" t="s">
        <v>15</v>
      </c>
      <c r="AG27" s="10" t="s">
        <v>9</v>
      </c>
      <c r="AH27" s="10" t="s">
        <v>10</v>
      </c>
      <c r="AI27" s="10" t="s">
        <v>11</v>
      </c>
      <c r="AJ27" s="10" t="s">
        <v>16</v>
      </c>
      <c r="AK27" s="10" t="s">
        <v>13</v>
      </c>
      <c r="AL27" s="10" t="s">
        <v>14</v>
      </c>
      <c r="AM27" s="10" t="s">
        <v>15</v>
      </c>
      <c r="AN27" s="12" t="s">
        <v>9</v>
      </c>
    </row>
    <row r="28" spans="2:40" ht="19.899999999999999" customHeight="1" x14ac:dyDescent="0.3">
      <c r="B28" s="83" t="s">
        <v>21</v>
      </c>
      <c r="C28" s="92" t="s">
        <v>22</v>
      </c>
      <c r="D28" s="229" t="s">
        <v>94</v>
      </c>
      <c r="E28" s="230"/>
      <c r="F28" s="230"/>
      <c r="G28" s="230"/>
      <c r="H28" s="231"/>
      <c r="I28" s="229" t="s">
        <v>95</v>
      </c>
      <c r="J28" s="230"/>
      <c r="K28" s="230"/>
      <c r="L28" s="230"/>
      <c r="M28" s="231"/>
      <c r="N28" s="229" t="s">
        <v>94</v>
      </c>
      <c r="O28" s="230"/>
      <c r="P28" s="230"/>
      <c r="Q28" s="230"/>
      <c r="R28" s="231"/>
      <c r="S28" s="229" t="s">
        <v>96</v>
      </c>
      <c r="T28" s="230"/>
      <c r="U28" s="230"/>
      <c r="V28" s="230"/>
      <c r="W28" s="231"/>
      <c r="X28" s="8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</row>
    <row r="29" spans="2:40" ht="19.899999999999999" customHeight="1" x14ac:dyDescent="0.3">
      <c r="B29" s="84" t="s">
        <v>23</v>
      </c>
      <c r="C29" s="91" t="s">
        <v>24</v>
      </c>
      <c r="D29" s="229" t="s">
        <v>79</v>
      </c>
      <c r="E29" s="230"/>
      <c r="F29" s="230"/>
      <c r="G29" s="230"/>
      <c r="H29" s="231"/>
      <c r="I29" s="229" t="s">
        <v>97</v>
      </c>
      <c r="J29" s="230"/>
      <c r="K29" s="230"/>
      <c r="L29" s="230"/>
      <c r="M29" s="231"/>
      <c r="N29" s="229" t="s">
        <v>98</v>
      </c>
      <c r="O29" s="230"/>
      <c r="P29" s="230"/>
      <c r="Q29" s="230"/>
      <c r="R29" s="231"/>
      <c r="S29" s="193" t="s">
        <v>78</v>
      </c>
      <c r="T29" s="194"/>
      <c r="U29" s="194"/>
      <c r="V29" s="194"/>
      <c r="W29" s="195"/>
      <c r="X29" s="81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2:40" ht="19.899999999999999" customHeight="1" x14ac:dyDescent="0.3">
      <c r="B30" s="84" t="s">
        <v>25</v>
      </c>
      <c r="C30" s="91" t="s">
        <v>26</v>
      </c>
      <c r="D30" s="229" t="s">
        <v>99</v>
      </c>
      <c r="E30" s="230"/>
      <c r="F30" s="230"/>
      <c r="G30" s="230"/>
      <c r="H30" s="231"/>
      <c r="I30" s="229" t="s">
        <v>82</v>
      </c>
      <c r="J30" s="230"/>
      <c r="K30" s="230"/>
      <c r="L30" s="230"/>
      <c r="M30" s="231"/>
      <c r="N30" s="229" t="s">
        <v>83</v>
      </c>
      <c r="O30" s="230"/>
      <c r="P30" s="230"/>
      <c r="Q30" s="230"/>
      <c r="R30" s="231"/>
      <c r="S30" s="229" t="s">
        <v>82</v>
      </c>
      <c r="T30" s="230"/>
      <c r="U30" s="230"/>
      <c r="V30" s="230"/>
      <c r="W30" s="231"/>
      <c r="X30" s="81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2:40" ht="19.899999999999999" customHeight="1" x14ac:dyDescent="0.3">
      <c r="B31" s="84" t="s">
        <v>27</v>
      </c>
      <c r="C31" s="91" t="s">
        <v>28</v>
      </c>
      <c r="D31" s="229" t="s">
        <v>100</v>
      </c>
      <c r="E31" s="230"/>
      <c r="F31" s="230"/>
      <c r="G31" s="230"/>
      <c r="H31" s="231"/>
      <c r="I31" s="229" t="s">
        <v>101</v>
      </c>
      <c r="J31" s="230"/>
      <c r="K31" s="230"/>
      <c r="L31" s="230"/>
      <c r="M31" s="231"/>
      <c r="N31" s="229" t="s">
        <v>102</v>
      </c>
      <c r="O31" s="230"/>
      <c r="P31" s="230"/>
      <c r="Q31" s="230"/>
      <c r="R31" s="231"/>
      <c r="S31" s="229" t="s">
        <v>103</v>
      </c>
      <c r="T31" s="230"/>
      <c r="U31" s="230"/>
      <c r="V31" s="230"/>
      <c r="W31" s="231"/>
      <c r="X31" s="81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2:40" ht="19.899999999999999" customHeight="1" x14ac:dyDescent="0.3">
      <c r="B32" s="84" t="s">
        <v>29</v>
      </c>
      <c r="C32" s="91" t="s">
        <v>30</v>
      </c>
      <c r="D32" s="229" t="s">
        <v>88</v>
      </c>
      <c r="E32" s="230"/>
      <c r="F32" s="230"/>
      <c r="G32" s="230"/>
      <c r="H32" s="231"/>
      <c r="I32" s="193" t="s">
        <v>93</v>
      </c>
      <c r="J32" s="194"/>
      <c r="K32" s="194"/>
      <c r="L32" s="194"/>
      <c r="M32" s="195"/>
      <c r="N32" s="229" t="s">
        <v>90</v>
      </c>
      <c r="O32" s="230"/>
      <c r="P32" s="230"/>
      <c r="Q32" s="230"/>
      <c r="R32" s="231"/>
      <c r="S32" s="229" t="s">
        <v>91</v>
      </c>
      <c r="T32" s="230"/>
      <c r="U32" s="230"/>
      <c r="V32" s="230"/>
      <c r="W32" s="231"/>
      <c r="X32" s="81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2:40" ht="19.899999999999999" customHeight="1" x14ac:dyDescent="0.3">
      <c r="B33" s="84" t="s">
        <v>31</v>
      </c>
      <c r="C33" s="91" t="s">
        <v>30</v>
      </c>
      <c r="D33" s="205" t="s">
        <v>89</v>
      </c>
      <c r="E33" s="206"/>
      <c r="F33" s="206"/>
      <c r="G33" s="206"/>
      <c r="H33" s="207"/>
      <c r="I33" s="205" t="s">
        <v>90</v>
      </c>
      <c r="J33" s="206"/>
      <c r="K33" s="206"/>
      <c r="L33" s="206"/>
      <c r="M33" s="207"/>
      <c r="N33" s="205" t="s">
        <v>91</v>
      </c>
      <c r="O33" s="206"/>
      <c r="P33" s="206"/>
      <c r="Q33" s="206"/>
      <c r="R33" s="207"/>
      <c r="S33" s="205" t="s">
        <v>92</v>
      </c>
      <c r="T33" s="206"/>
      <c r="U33" s="206"/>
      <c r="V33" s="206"/>
      <c r="W33" s="207"/>
      <c r="X33" s="81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2:40" ht="19.899999999999999" customHeight="1" x14ac:dyDescent="0.3">
      <c r="B34" s="85" t="s">
        <v>32</v>
      </c>
      <c r="C34" s="91" t="s">
        <v>30</v>
      </c>
      <c r="D34" s="205" t="s">
        <v>91</v>
      </c>
      <c r="E34" s="206"/>
      <c r="F34" s="206"/>
      <c r="G34" s="206"/>
      <c r="H34" s="207"/>
      <c r="I34" s="205" t="s">
        <v>93</v>
      </c>
      <c r="J34" s="206"/>
      <c r="K34" s="206"/>
      <c r="L34" s="206"/>
      <c r="M34" s="207"/>
      <c r="N34" s="205" t="s">
        <v>92</v>
      </c>
      <c r="O34" s="206"/>
      <c r="P34" s="206"/>
      <c r="Q34" s="206"/>
      <c r="R34" s="207"/>
      <c r="S34" s="205" t="s">
        <v>90</v>
      </c>
      <c r="T34" s="206"/>
      <c r="U34" s="206"/>
      <c r="V34" s="206"/>
      <c r="W34" s="207"/>
      <c r="X34" s="81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2:40" ht="19.899999999999999" customHeight="1" x14ac:dyDescent="0.3">
      <c r="B35" s="71"/>
      <c r="C35" s="71"/>
      <c r="D35" s="6" t="str">
        <f t="shared" ref="D35:AN35" ca="1" si="3">IF(OR(NOT(ISNUMBER(D26)),D26&lt;Job1_StartDate),"",IF(MID(Job1_Pattern,MOD(D26-Job1_StartDate,LEN(Job1_Pattern))+1,1)=Job1_Shift1_Code,1,IF(MID(Job1_Pattern,MOD(D26-Job1_StartDate,LEN(Job1_Pattern))+1,1)=Job1_Shift2_Code,2,IF(MID(Job1_Pattern,MOD(D26-Job1_StartDate,LEN(Job1_Pattern))+1,1)=Job1_Shift3_Code,3,""))))</f>
        <v/>
      </c>
      <c r="E35" s="6" t="str">
        <f t="shared" ca="1" si="3"/>
        <v/>
      </c>
      <c r="F35" s="6" t="str">
        <f t="shared" ca="1" si="3"/>
        <v/>
      </c>
      <c r="G35" s="6" t="str">
        <f t="shared" ca="1" si="3"/>
        <v/>
      </c>
      <c r="H35" s="6">
        <v>55</v>
      </c>
      <c r="I35" s="6" t="str">
        <f t="shared" ca="1" si="3"/>
        <v/>
      </c>
      <c r="J35" s="6" t="str">
        <f t="shared" ca="1" si="3"/>
        <v/>
      </c>
      <c r="K35" s="6" t="str">
        <f t="shared" ca="1" si="3"/>
        <v/>
      </c>
      <c r="L35" s="6" t="str">
        <f t="shared" ca="1" si="3"/>
        <v/>
      </c>
      <c r="M35" s="6" t="str">
        <f t="shared" ca="1" si="3"/>
        <v/>
      </c>
      <c r="N35" s="6" t="str">
        <f t="shared" ca="1" si="3"/>
        <v/>
      </c>
      <c r="O35" s="6" t="str">
        <f t="shared" ca="1" si="3"/>
        <v/>
      </c>
      <c r="P35" s="6" t="str">
        <f t="shared" ca="1" si="3"/>
        <v/>
      </c>
      <c r="Q35" s="6" t="str">
        <f t="shared" ca="1" si="3"/>
        <v/>
      </c>
      <c r="R35" s="6" t="str">
        <f t="shared" ca="1" si="3"/>
        <v/>
      </c>
      <c r="S35" s="6" t="str">
        <f t="shared" ca="1" si="3"/>
        <v/>
      </c>
      <c r="T35" s="6" t="str">
        <f t="shared" ca="1" si="3"/>
        <v/>
      </c>
      <c r="U35" s="6" t="str">
        <f t="shared" ca="1" si="3"/>
        <v/>
      </c>
      <c r="V35" s="6" t="str">
        <f t="shared" ca="1" si="3"/>
        <v/>
      </c>
      <c r="W35" s="6" t="str">
        <f t="shared" ca="1" si="3"/>
        <v/>
      </c>
      <c r="X35" s="6">
        <f t="shared" ca="1" si="3"/>
        <v>1</v>
      </c>
      <c r="Y35" s="6" t="str">
        <f t="shared" ca="1" si="3"/>
        <v/>
      </c>
      <c r="Z35" s="6" t="str">
        <f t="shared" ca="1" si="3"/>
        <v/>
      </c>
      <c r="AA35" s="6" t="str">
        <f t="shared" ca="1" si="3"/>
        <v/>
      </c>
      <c r="AB35" s="6">
        <f t="shared" ca="1" si="3"/>
        <v>1</v>
      </c>
      <c r="AC35" s="6" t="str">
        <f t="shared" ca="1" si="3"/>
        <v/>
      </c>
      <c r="AD35" s="6" t="str">
        <f t="shared" ca="1" si="3"/>
        <v/>
      </c>
      <c r="AE35" s="6" t="str">
        <f t="shared" ca="1" si="3"/>
        <v/>
      </c>
      <c r="AF35" s="6">
        <f t="shared" ca="1" si="3"/>
        <v>1</v>
      </c>
      <c r="AG35" s="6" t="str">
        <f t="shared" ca="1" si="3"/>
        <v/>
      </c>
      <c r="AH35" s="6" t="str">
        <f t="shared" ca="1" si="3"/>
        <v/>
      </c>
      <c r="AI35" s="6" t="str">
        <f t="shared" ca="1" si="3"/>
        <v/>
      </c>
      <c r="AJ35" s="6" t="str">
        <f t="shared" ca="1" si="3"/>
        <v/>
      </c>
      <c r="AK35" s="6" t="str">
        <f t="shared" ca="1" si="3"/>
        <v/>
      </c>
      <c r="AL35" s="6" t="str">
        <f t="shared" ca="1" si="3"/>
        <v/>
      </c>
      <c r="AM35" s="6" t="str">
        <f t="shared" ca="1" si="3"/>
        <v/>
      </c>
      <c r="AN35" s="6" t="str">
        <f t="shared" ca="1" si="3"/>
        <v/>
      </c>
    </row>
    <row r="36" spans="2:40" ht="19.899999999999999" customHeight="1" x14ac:dyDescent="0.3">
      <c r="B36" s="72"/>
      <c r="C36" s="72"/>
      <c r="D36" s="7" t="str">
        <f t="shared" ref="D36:AN36" ca="1" si="4">IF(OR(NOT(ISNUMBER(D26)),D26&lt;Job2_StartDate),"",IF(MID(Job2_Pattern,MOD(D26-Job2_StartDate,LEN(Job2_Pattern))+1,1)=Job2_Shift1_Code,1,IF(MID(Job2_Pattern,MOD(D26-Job2_StartDate,LEN(Job2_Pattern))+1,1)=Job2_Shift2_Code,2,IF(MID(Job2_Pattern,MOD(D26-Job2_StartDate,LEN(Job2_Pattern))+1,1)=Job2_Shift3_Code,3,""))))</f>
        <v/>
      </c>
      <c r="E36" s="7" t="str">
        <f t="shared" ca="1" si="4"/>
        <v/>
      </c>
      <c r="F36" s="7" t="str">
        <f t="shared" ca="1" si="4"/>
        <v/>
      </c>
      <c r="G36" s="7" t="str">
        <f t="shared" ca="1" si="4"/>
        <v/>
      </c>
      <c r="H36" s="7" t="str">
        <f t="shared" ca="1" si="4"/>
        <v/>
      </c>
      <c r="I36" s="7" t="str">
        <f t="shared" ca="1" si="4"/>
        <v/>
      </c>
      <c r="J36" s="7" t="str">
        <f t="shared" ca="1" si="4"/>
        <v/>
      </c>
      <c r="K36" s="7" t="str">
        <f t="shared" ca="1" si="4"/>
        <v/>
      </c>
      <c r="L36" s="7" t="str">
        <f ca="1">IF(OR(NOT(ISNUMBER(L26)),L26&lt;Job2_StartDate),"",IF(MID(Job2_Pattern,MOD(L26-Job2_StartDate,LEN(Job2_Pattern))+1,1)=Job2_Shift1_Code,1,IF(MID(Job2_Pattern,MOD(L26-Job2_StartDate,LEN(Job2_Pattern))+1,1)=Job2_Shift2_Code,2,IF(MID(Job2_Pattern,MOD(L26-Job2_StartDate,LEN(Job2_Pattern))+1,1)=Job2_Shift3_Code,3,""))))</f>
        <v/>
      </c>
      <c r="M36" s="7" t="str">
        <f t="shared" ca="1" si="4"/>
        <v/>
      </c>
      <c r="N36" s="7" t="str">
        <f t="shared" ca="1" si="4"/>
        <v/>
      </c>
      <c r="O36" s="7" t="str">
        <f t="shared" ca="1" si="4"/>
        <v/>
      </c>
      <c r="P36" s="7" t="str">
        <f t="shared" ca="1" si="4"/>
        <v/>
      </c>
      <c r="Q36" s="7" t="str">
        <f t="shared" ca="1" si="4"/>
        <v/>
      </c>
      <c r="R36" s="7" t="str">
        <f t="shared" ca="1" si="4"/>
        <v/>
      </c>
      <c r="S36" s="7" t="str">
        <f t="shared" ca="1" si="4"/>
        <v/>
      </c>
      <c r="T36" s="7" t="str">
        <f t="shared" ca="1" si="4"/>
        <v/>
      </c>
      <c r="U36" s="7" t="str">
        <f t="shared" ca="1" si="4"/>
        <v/>
      </c>
      <c r="V36" s="7" t="str">
        <f t="shared" ca="1" si="4"/>
        <v/>
      </c>
      <c r="W36" s="7" t="str">
        <f t="shared" ca="1" si="4"/>
        <v/>
      </c>
      <c r="X36" s="7" t="str">
        <f t="shared" ca="1" si="4"/>
        <v/>
      </c>
      <c r="Y36" s="7" t="str">
        <f t="shared" ca="1" si="4"/>
        <v/>
      </c>
      <c r="Z36" s="7" t="str">
        <f t="shared" ca="1" si="4"/>
        <v/>
      </c>
      <c r="AA36" s="7">
        <f t="shared" ca="1" si="4"/>
        <v>2</v>
      </c>
      <c r="AB36" s="7" t="str">
        <f t="shared" ca="1" si="4"/>
        <v/>
      </c>
      <c r="AC36" s="7" t="str">
        <f t="shared" ca="1" si="4"/>
        <v/>
      </c>
      <c r="AD36" s="7" t="str">
        <f t="shared" ca="1" si="4"/>
        <v/>
      </c>
      <c r="AE36" s="7">
        <f t="shared" ca="1" si="4"/>
        <v>2</v>
      </c>
      <c r="AF36" s="7" t="str">
        <f t="shared" ca="1" si="4"/>
        <v/>
      </c>
      <c r="AG36" s="7" t="str">
        <f t="shared" ca="1" si="4"/>
        <v/>
      </c>
      <c r="AH36" s="7" t="str">
        <f t="shared" ca="1" si="4"/>
        <v/>
      </c>
      <c r="AI36" s="7" t="str">
        <f t="shared" ca="1" si="4"/>
        <v/>
      </c>
      <c r="AJ36" s="7" t="str">
        <f t="shared" ca="1" si="4"/>
        <v/>
      </c>
      <c r="AK36" s="7" t="str">
        <f t="shared" ca="1" si="4"/>
        <v/>
      </c>
      <c r="AL36" s="7" t="str">
        <f t="shared" ca="1" si="4"/>
        <v/>
      </c>
      <c r="AM36" s="7" t="str">
        <f t="shared" ca="1" si="4"/>
        <v/>
      </c>
      <c r="AN36" s="7" t="str">
        <f t="shared" ca="1" si="4"/>
        <v/>
      </c>
    </row>
    <row r="37" spans="2:40" ht="19.899999999999999" customHeight="1" x14ac:dyDescent="0.3">
      <c r="B37" s="73"/>
      <c r="C37" s="73"/>
      <c r="D37" s="7" t="str">
        <f t="shared" ref="D37:AN37" ca="1" si="5">IF(OR(NOT(ISNUMBER(D26)),D26&lt;Job3_StartDate),"",IF(MID(Job3_Pattern,MOD(D26-Job3_StartDate,LEN(Job3_Pattern))+1,1)=Job3_Shift1_Code,1,IF(MID(Job3_Pattern,MOD(D26-Job3_StartDate,LEN(Job3_Pattern))+1,1)=Job3_Shift2_Code,2,IF(MID(Job3_Pattern,MOD(D26-Job3_StartDate,LEN(Job3_Pattern))+1,1)=Job3_Shift3_Code,3,""))))</f>
        <v/>
      </c>
      <c r="E37" s="7" t="str">
        <f t="shared" ca="1" si="5"/>
        <v/>
      </c>
      <c r="F37" s="7" t="str">
        <f t="shared" ca="1" si="5"/>
        <v/>
      </c>
      <c r="G37" s="7" t="str">
        <f t="shared" ca="1" si="5"/>
        <v/>
      </c>
      <c r="H37" s="7" t="str">
        <f t="shared" ca="1" si="5"/>
        <v/>
      </c>
      <c r="I37" s="7" t="str">
        <f t="shared" ca="1" si="5"/>
        <v/>
      </c>
      <c r="J37" s="7" t="str">
        <f t="shared" ca="1" si="5"/>
        <v/>
      </c>
      <c r="K37" s="7" t="str">
        <f t="shared" ca="1" si="5"/>
        <v/>
      </c>
      <c r="L37" s="7" t="str">
        <f t="shared" ca="1" si="5"/>
        <v/>
      </c>
      <c r="M37" s="7" t="str">
        <f t="shared" ca="1" si="5"/>
        <v/>
      </c>
      <c r="N37" s="7" t="str">
        <f t="shared" ca="1" si="5"/>
        <v/>
      </c>
      <c r="O37" s="7" t="str">
        <f t="shared" ca="1" si="5"/>
        <v/>
      </c>
      <c r="P37" s="7" t="str">
        <f t="shared" ca="1" si="5"/>
        <v/>
      </c>
      <c r="Q37" s="7" t="str">
        <f t="shared" ca="1" si="5"/>
        <v/>
      </c>
      <c r="R37" s="7" t="str">
        <f t="shared" ca="1" si="5"/>
        <v/>
      </c>
      <c r="S37" s="7" t="str">
        <f t="shared" ca="1" si="5"/>
        <v/>
      </c>
      <c r="T37" s="7" t="str">
        <f t="shared" ca="1" si="5"/>
        <v/>
      </c>
      <c r="U37" s="7" t="str">
        <f t="shared" ca="1" si="5"/>
        <v/>
      </c>
      <c r="V37" s="7" t="str">
        <f t="shared" ca="1" si="5"/>
        <v/>
      </c>
      <c r="W37" s="7" t="str">
        <f t="shared" ca="1" si="5"/>
        <v/>
      </c>
      <c r="X37" s="7">
        <f t="shared" ca="1" si="5"/>
        <v>3</v>
      </c>
      <c r="Y37" s="7" t="str">
        <f t="shared" ca="1" si="5"/>
        <v/>
      </c>
      <c r="Z37" s="7" t="str">
        <f t="shared" ca="1" si="5"/>
        <v/>
      </c>
      <c r="AA37" s="7" t="str">
        <f t="shared" ca="1" si="5"/>
        <v/>
      </c>
      <c r="AB37" s="7">
        <f t="shared" ca="1" si="5"/>
        <v>3</v>
      </c>
      <c r="AC37" s="7" t="str">
        <f t="shared" ca="1" si="5"/>
        <v/>
      </c>
      <c r="AD37" s="7" t="str">
        <f t="shared" ca="1" si="5"/>
        <v/>
      </c>
      <c r="AE37" s="7" t="str">
        <f t="shared" ca="1" si="5"/>
        <v/>
      </c>
      <c r="AF37" s="7">
        <f t="shared" ca="1" si="5"/>
        <v>3</v>
      </c>
      <c r="AG37" s="7" t="str">
        <f t="shared" ca="1" si="5"/>
        <v/>
      </c>
      <c r="AH37" s="7" t="str">
        <f t="shared" ca="1" si="5"/>
        <v/>
      </c>
      <c r="AI37" s="7" t="str">
        <f t="shared" ca="1" si="5"/>
        <v/>
      </c>
      <c r="AJ37" s="7" t="str">
        <f t="shared" ca="1" si="5"/>
        <v/>
      </c>
      <c r="AK37" s="7" t="str">
        <f t="shared" ca="1" si="5"/>
        <v/>
      </c>
      <c r="AL37" s="7" t="str">
        <f t="shared" ca="1" si="5"/>
        <v/>
      </c>
      <c r="AM37" s="7" t="str">
        <f t="shared" ca="1" si="5"/>
        <v/>
      </c>
      <c r="AN37" s="7" t="str">
        <f t="shared" ca="1" si="5"/>
        <v/>
      </c>
    </row>
    <row r="38" spans="2:40" ht="19.899999999999999" customHeight="1" thickBot="1" x14ac:dyDescent="0.35">
      <c r="B38" s="74"/>
      <c r="C38" s="74"/>
    </row>
    <row r="39" spans="2:40" s="75" customFormat="1" ht="19.899999999999999" customHeight="1" x14ac:dyDescent="0.3">
      <c r="B39" s="211">
        <v>46113</v>
      </c>
      <c r="C39" s="241"/>
      <c r="D39" s="213" t="s">
        <v>5</v>
      </c>
      <c r="E39" s="214"/>
      <c r="F39" s="214"/>
      <c r="G39" s="214"/>
      <c r="H39" s="215"/>
      <c r="I39" s="213" t="s">
        <v>6</v>
      </c>
      <c r="J39" s="214"/>
      <c r="K39" s="214"/>
      <c r="L39" s="214"/>
      <c r="M39" s="215"/>
      <c r="N39" s="213" t="s">
        <v>7</v>
      </c>
      <c r="O39" s="214"/>
      <c r="P39" s="214"/>
      <c r="Q39" s="214"/>
      <c r="R39" s="215"/>
      <c r="S39" s="213" t="s">
        <v>8</v>
      </c>
      <c r="T39" s="214"/>
      <c r="U39" s="214"/>
      <c r="V39" s="214"/>
      <c r="W39" s="215"/>
      <c r="X39" s="213" t="s">
        <v>39</v>
      </c>
      <c r="Y39" s="214"/>
      <c r="Z39" s="214"/>
      <c r="AA39" s="214"/>
      <c r="AB39" s="215"/>
      <c r="AC39" s="9">
        <f ca="1">IF(DAY(MarSun1)=1,IF(AND(YEAR(MarSun1+19)=CalendarYear,MONTH(MarSun1+19)=3),MarSun1+19,""),IF(AND(YEAR(MarSun1+26)=CalendarYear,MONTH(MarSun1+26)=3),MarSun1+26,""))</f>
        <v>46107</v>
      </c>
      <c r="AD39" s="9">
        <f ca="1">IF(DAY(MarSun1)=1,IF(AND(YEAR(MarSun1+20)=CalendarYear,MONTH(MarSun1+20)=3),MarSun1+20,""),IF(AND(YEAR(MarSun1+27)=CalendarYear,MONTH(MarSun1+27)=3),MarSun1+27,""))</f>
        <v>46108</v>
      </c>
      <c r="AE39" s="9">
        <f ca="1">IF(DAY(MarSun1)=1,IF(AND(YEAR(MarSun1+21)=CalendarYear,MONTH(MarSun1+21)=3),MarSun1+21,""),IF(AND(YEAR(MarSun1+28)=CalendarYear,MONTH(MarSun1+28)=3),MarSun1+28,""))</f>
        <v>46109</v>
      </c>
      <c r="AF39" s="9">
        <f ca="1">IF(DAY(MarSun1)=1,IF(AND(YEAR(MarSun1+22)=CalendarYear,MONTH(MarSun1+22)=3),MarSun1+22,""),IF(AND(YEAR(MarSun1+29)=CalendarYear,MONTH(MarSun1+29)=3),MarSun1+29,""))</f>
        <v>46110</v>
      </c>
      <c r="AG39" s="9">
        <f ca="1">IF(DAY(MarSun1)=1,IF(AND(YEAR(MarSun1+23)=CalendarYear,MONTH(MarSun1+23)=3),MarSun1+23,""),IF(AND(YEAR(MarSun1+30)=CalendarYear,MONTH(MarSun1+30)=3),MarSun1+30,""))</f>
        <v>46111</v>
      </c>
      <c r="AH39" s="9">
        <f ca="1">IF(DAY(MarSun1)=1,IF(AND(YEAR(MarSun1+24)=CalendarYear,MONTH(MarSun1+24)=3),MarSun1+24,""),IF(AND(YEAR(MarSun1+31)=CalendarYear,MONTH(MarSun1+31)=3),MarSun1+31,""))</f>
        <v>46112</v>
      </c>
      <c r="AI39" s="9" t="str">
        <f ca="1">IF(DAY(MarSun1)=1,IF(AND(YEAR(MarSun1+25)=CalendarYear,MONTH(MarSun1+25)=3),MarSun1+25,""),IF(AND(YEAR(MarSun1+32)=CalendarYear,MONTH(MarSun1+32)=3),MarSun1+32,""))</f>
        <v/>
      </c>
      <c r="AJ39" s="9" t="str">
        <f ca="1">IF(DAY(MarSun1)=1,IF(AND(YEAR(MarSun1+26)=CalendarYear,MONTH(MarSun1+26)=3),MarSun1+26,""),IF(AND(YEAR(MarSun1+33)=CalendarYear,MONTH(MarSun1+33)=3),MarSun1+33,""))</f>
        <v/>
      </c>
      <c r="AK39" s="9" t="str">
        <f ca="1">IF(DAY(MarSun1)=1,IF(AND(YEAR(MarSun1+27)=CalendarYear,MONTH(MarSun1+27)=3),MarSun1+27,""),IF(AND(YEAR(MarSun1+34)=CalendarYear,MONTH(MarSun1+34)=3),MarSun1+34,""))</f>
        <v/>
      </c>
      <c r="AL39" s="9" t="str">
        <f ca="1">IF(DAY(MarSun1)=1,IF(AND(YEAR(MarSun1+28)=CalendarYear,MONTH(MarSun1+28)=3),MarSun1+28,""),IF(AND(YEAR(MarSun1+35)=CalendarYear,MONTH(MarSun1+35)=3),MarSun1+35,""))</f>
        <v/>
      </c>
      <c r="AM39" s="9" t="str">
        <f ca="1">IF(DAY(MarSun1)=1,IF(AND(YEAR(MarSun1+29)=CalendarYear,MONTH(MarSun1+29)=3),MarSun1+29,""),IF(AND(YEAR(MarSun1+36)=CalendarYear,MONTH(MarSun1+36)=3),MarSun1+36,""))</f>
        <v/>
      </c>
      <c r="AN39" s="11" t="str">
        <f ca="1">IF(DAY(MarSun1)=1,IF(AND(YEAR(MarSun1+30)=CalendarYear,MONTH(MarSun1+30)=3),MarSun1+30,""),IF(AND(YEAR(MarSun1+37)=CalendarYear,MONTH(MarSun1+37)=3),MarSun1+37,""))</f>
        <v/>
      </c>
    </row>
    <row r="40" spans="2:40" s="75" customFormat="1" ht="19.899999999999999" customHeight="1" x14ac:dyDescent="0.3">
      <c r="B40" s="212"/>
      <c r="C40" s="242"/>
      <c r="D40" s="87" t="s">
        <v>9</v>
      </c>
      <c r="E40" s="80" t="s">
        <v>10</v>
      </c>
      <c r="F40" s="80" t="s">
        <v>11</v>
      </c>
      <c r="G40" s="80" t="s">
        <v>12</v>
      </c>
      <c r="H40" s="88" t="s">
        <v>13</v>
      </c>
      <c r="I40" s="87" t="s">
        <v>9</v>
      </c>
      <c r="J40" s="80" t="s">
        <v>10</v>
      </c>
      <c r="K40" s="80" t="s">
        <v>11</v>
      </c>
      <c r="L40" s="80" t="s">
        <v>12</v>
      </c>
      <c r="M40" s="88" t="s">
        <v>13</v>
      </c>
      <c r="N40" s="87" t="s">
        <v>9</v>
      </c>
      <c r="O40" s="80" t="s">
        <v>10</v>
      </c>
      <c r="P40" s="80" t="s">
        <v>11</v>
      </c>
      <c r="Q40" s="80" t="s">
        <v>12</v>
      </c>
      <c r="R40" s="88" t="s">
        <v>13</v>
      </c>
      <c r="S40" s="87" t="s">
        <v>9</v>
      </c>
      <c r="T40" s="80" t="s">
        <v>10</v>
      </c>
      <c r="U40" s="80" t="s">
        <v>11</v>
      </c>
      <c r="V40" s="80" t="s">
        <v>12</v>
      </c>
      <c r="W40" s="88" t="s">
        <v>13</v>
      </c>
      <c r="X40" s="87" t="s">
        <v>9</v>
      </c>
      <c r="Y40" s="80" t="s">
        <v>10</v>
      </c>
      <c r="Z40" s="80" t="s">
        <v>11</v>
      </c>
      <c r="AA40" s="80" t="s">
        <v>12</v>
      </c>
      <c r="AB40" s="88" t="s">
        <v>13</v>
      </c>
      <c r="AC40" s="10" t="s">
        <v>16</v>
      </c>
      <c r="AD40" s="10" t="s">
        <v>13</v>
      </c>
      <c r="AE40" s="10" t="s">
        <v>14</v>
      </c>
      <c r="AF40" s="10" t="s">
        <v>15</v>
      </c>
      <c r="AG40" s="10" t="s">
        <v>9</v>
      </c>
      <c r="AH40" s="10" t="s">
        <v>10</v>
      </c>
      <c r="AI40" s="10" t="s">
        <v>11</v>
      </c>
      <c r="AJ40" s="10" t="s">
        <v>16</v>
      </c>
      <c r="AK40" s="10" t="s">
        <v>13</v>
      </c>
      <c r="AL40" s="10" t="s">
        <v>14</v>
      </c>
      <c r="AM40" s="10" t="s">
        <v>15</v>
      </c>
      <c r="AN40" s="12" t="s">
        <v>9</v>
      </c>
    </row>
    <row r="41" spans="2:40" ht="19.899999999999999" customHeight="1" x14ac:dyDescent="0.3">
      <c r="B41" s="83" t="s">
        <v>21</v>
      </c>
      <c r="C41" s="92" t="s">
        <v>22</v>
      </c>
      <c r="D41" s="243" t="s">
        <v>104</v>
      </c>
      <c r="E41" s="244"/>
      <c r="F41" s="244"/>
      <c r="G41" s="244"/>
      <c r="H41" s="245"/>
      <c r="I41" s="246" t="s">
        <v>105</v>
      </c>
      <c r="J41" s="247"/>
      <c r="K41" s="247"/>
      <c r="L41" s="247"/>
      <c r="M41" s="248"/>
      <c r="N41" s="243" t="s">
        <v>106</v>
      </c>
      <c r="O41" s="244"/>
      <c r="P41" s="244"/>
      <c r="Q41" s="244"/>
      <c r="R41" s="245"/>
      <c r="S41" s="246" t="s">
        <v>107</v>
      </c>
      <c r="T41" s="247"/>
      <c r="U41" s="247"/>
      <c r="V41" s="247"/>
      <c r="W41" s="248"/>
      <c r="X41" s="258" t="s">
        <v>108</v>
      </c>
      <c r="Y41" s="259"/>
      <c r="Z41" s="259"/>
      <c r="AA41" s="259"/>
      <c r="AB41" s="260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</row>
    <row r="42" spans="2:40" ht="19.899999999999999" customHeight="1" x14ac:dyDescent="0.3">
      <c r="B42" s="84" t="s">
        <v>23</v>
      </c>
      <c r="C42" s="91" t="s">
        <v>24</v>
      </c>
      <c r="D42" s="229" t="s">
        <v>109</v>
      </c>
      <c r="E42" s="230"/>
      <c r="F42" s="230"/>
      <c r="G42" s="230"/>
      <c r="H42" s="231"/>
      <c r="I42" s="252" t="s">
        <v>110</v>
      </c>
      <c r="J42" s="253"/>
      <c r="K42" s="253"/>
      <c r="L42" s="253"/>
      <c r="M42" s="254"/>
      <c r="N42" s="255" t="s">
        <v>111</v>
      </c>
      <c r="O42" s="256"/>
      <c r="P42" s="256"/>
      <c r="Q42" s="256"/>
      <c r="R42" s="257"/>
      <c r="S42" s="255" t="s">
        <v>112</v>
      </c>
      <c r="T42" s="256"/>
      <c r="U42" s="256"/>
      <c r="V42" s="256"/>
      <c r="W42" s="257"/>
      <c r="X42" s="261" t="s">
        <v>113</v>
      </c>
      <c r="Y42" s="262"/>
      <c r="Z42" s="262"/>
      <c r="AA42" s="262"/>
      <c r="AB42" s="263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2:40" ht="19.899999999999999" customHeight="1" x14ac:dyDescent="0.3">
      <c r="B43" s="84" t="s">
        <v>25</v>
      </c>
      <c r="C43" s="91" t="s">
        <v>26</v>
      </c>
      <c r="D43" s="252" t="s">
        <v>114</v>
      </c>
      <c r="E43" s="253"/>
      <c r="F43" s="253"/>
      <c r="G43" s="253"/>
      <c r="H43" s="254"/>
      <c r="I43" s="243" t="s">
        <v>115</v>
      </c>
      <c r="J43" s="244"/>
      <c r="K43" s="244"/>
      <c r="L43" s="244"/>
      <c r="M43" s="245"/>
      <c r="N43" s="249" t="s">
        <v>116</v>
      </c>
      <c r="O43" s="250"/>
      <c r="P43" s="250"/>
      <c r="Q43" s="250"/>
      <c r="R43" s="251"/>
      <c r="S43" s="258" t="s">
        <v>117</v>
      </c>
      <c r="T43" s="259"/>
      <c r="U43" s="259"/>
      <c r="V43" s="259"/>
      <c r="W43" s="260"/>
      <c r="X43" s="246" t="s">
        <v>118</v>
      </c>
      <c r="Y43" s="247"/>
      <c r="Z43" s="247"/>
      <c r="AA43" s="247"/>
      <c r="AB43" s="248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2:40" ht="19.899999999999999" customHeight="1" x14ac:dyDescent="0.3">
      <c r="B44" s="84" t="s">
        <v>27</v>
      </c>
      <c r="C44" s="91" t="s">
        <v>28</v>
      </c>
      <c r="D44" s="246" t="s">
        <v>119</v>
      </c>
      <c r="E44" s="247"/>
      <c r="F44" s="247"/>
      <c r="G44" s="247"/>
      <c r="H44" s="248"/>
      <c r="I44" s="255" t="s">
        <v>120</v>
      </c>
      <c r="J44" s="256"/>
      <c r="K44" s="256"/>
      <c r="L44" s="256"/>
      <c r="M44" s="257"/>
      <c r="N44" s="243" t="s">
        <v>110</v>
      </c>
      <c r="O44" s="244"/>
      <c r="P44" s="244"/>
      <c r="Q44" s="244"/>
      <c r="R44" s="245"/>
      <c r="S44" s="249" t="s">
        <v>121</v>
      </c>
      <c r="T44" s="250"/>
      <c r="U44" s="250"/>
      <c r="V44" s="250"/>
      <c r="W44" s="251"/>
      <c r="X44" s="249" t="s">
        <v>122</v>
      </c>
      <c r="Y44" s="250"/>
      <c r="Z44" s="250"/>
      <c r="AA44" s="250"/>
      <c r="AB44" s="251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2:40" ht="19.899999999999999" customHeight="1" x14ac:dyDescent="0.3">
      <c r="B45" s="84" t="s">
        <v>29</v>
      </c>
      <c r="C45" s="91" t="s">
        <v>30</v>
      </c>
      <c r="D45" s="193" t="s">
        <v>123</v>
      </c>
      <c r="E45" s="194"/>
      <c r="F45" s="194"/>
      <c r="G45" s="194"/>
      <c r="H45" s="195"/>
      <c r="I45" s="193" t="s">
        <v>124</v>
      </c>
      <c r="J45" s="194"/>
      <c r="K45" s="194"/>
      <c r="L45" s="194"/>
      <c r="M45" s="195"/>
      <c r="N45" s="193" t="s">
        <v>125</v>
      </c>
      <c r="O45" s="194"/>
      <c r="P45" s="194"/>
      <c r="Q45" s="194"/>
      <c r="R45" s="195"/>
      <c r="S45" s="193" t="s">
        <v>126</v>
      </c>
      <c r="T45" s="194"/>
      <c r="U45" s="194"/>
      <c r="V45" s="194"/>
      <c r="W45" s="195"/>
      <c r="X45" s="193" t="s">
        <v>127</v>
      </c>
      <c r="Y45" s="194"/>
      <c r="Z45" s="194"/>
      <c r="AA45" s="194"/>
      <c r="AB45" s="195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2:40" ht="19.899999999999999" customHeight="1" x14ac:dyDescent="0.3">
      <c r="B46" s="84" t="s">
        <v>31</v>
      </c>
      <c r="C46" s="91"/>
      <c r="D46" s="193"/>
      <c r="E46" s="194"/>
      <c r="F46" s="194"/>
      <c r="G46" s="194"/>
      <c r="H46" s="195"/>
      <c r="I46" s="193"/>
      <c r="J46" s="194"/>
      <c r="K46" s="194"/>
      <c r="L46" s="194"/>
      <c r="M46" s="195"/>
      <c r="N46" s="193"/>
      <c r="O46" s="194"/>
      <c r="P46" s="194"/>
      <c r="Q46" s="194"/>
      <c r="R46" s="195"/>
      <c r="S46" s="193"/>
      <c r="T46" s="194"/>
      <c r="U46" s="194"/>
      <c r="V46" s="194"/>
      <c r="W46" s="195"/>
      <c r="X46" s="81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2:40" ht="19.899999999999999" customHeight="1" x14ac:dyDescent="0.3">
      <c r="B47" s="85" t="s">
        <v>32</v>
      </c>
      <c r="C47" s="91"/>
      <c r="D47" s="193"/>
      <c r="E47" s="194"/>
      <c r="F47" s="194"/>
      <c r="G47" s="194"/>
      <c r="H47" s="195"/>
      <c r="I47" s="193"/>
      <c r="J47" s="194"/>
      <c r="K47" s="194"/>
      <c r="L47" s="194"/>
      <c r="M47" s="195"/>
      <c r="N47" s="193"/>
      <c r="O47" s="194"/>
      <c r="P47" s="194"/>
      <c r="Q47" s="194"/>
      <c r="R47" s="195"/>
      <c r="S47" s="193"/>
      <c r="T47" s="194"/>
      <c r="U47" s="194"/>
      <c r="V47" s="194"/>
      <c r="W47" s="195"/>
      <c r="X47" s="81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2:40" ht="19.899999999999999" customHeight="1" x14ac:dyDescent="0.3">
      <c r="B48" s="71"/>
      <c r="C48" s="71"/>
      <c r="D48" s="6" t="str">
        <f t="shared" ref="D48:G48" ca="1" si="6">IF(OR(NOT(ISNUMBER(D39)),D39&lt;Job1_StartDate),"",IF(MID(Job1_Pattern,MOD(D39-Job1_StartDate,LEN(Job1_Pattern))+1,1)=Job1_Shift1_Code,1,IF(MID(Job1_Pattern,MOD(D39-Job1_StartDate,LEN(Job1_Pattern))+1,1)=Job1_Shift2_Code,2,IF(MID(Job1_Pattern,MOD(D39-Job1_StartDate,LEN(Job1_Pattern))+1,1)=Job1_Shift3_Code,3,""))))</f>
        <v/>
      </c>
      <c r="E48" s="6" t="str">
        <f t="shared" ca="1" si="6"/>
        <v/>
      </c>
      <c r="F48" s="6" t="str">
        <f t="shared" ca="1" si="6"/>
        <v/>
      </c>
      <c r="G48" s="6" t="str">
        <f t="shared" ca="1" si="6"/>
        <v/>
      </c>
      <c r="H48" s="6">
        <v>55</v>
      </c>
      <c r="I48" s="6" t="str">
        <f t="shared" ref="I48:AN48" ca="1" si="7">IF(OR(NOT(ISNUMBER(I39)),I39&lt;Job1_StartDate),"",IF(MID(Job1_Pattern,MOD(I39-Job1_StartDate,LEN(Job1_Pattern))+1,1)=Job1_Shift1_Code,1,IF(MID(Job1_Pattern,MOD(I39-Job1_StartDate,LEN(Job1_Pattern))+1,1)=Job1_Shift2_Code,2,IF(MID(Job1_Pattern,MOD(I39-Job1_StartDate,LEN(Job1_Pattern))+1,1)=Job1_Shift3_Code,3,""))))</f>
        <v/>
      </c>
      <c r="J48" s="6" t="str">
        <f t="shared" ca="1" si="7"/>
        <v/>
      </c>
      <c r="K48" s="6" t="str">
        <f t="shared" ca="1" si="7"/>
        <v/>
      </c>
      <c r="L48" s="6" t="str">
        <f t="shared" ca="1" si="7"/>
        <v/>
      </c>
      <c r="M48" s="6" t="str">
        <f t="shared" ca="1" si="7"/>
        <v/>
      </c>
      <c r="N48" s="6" t="str">
        <f t="shared" ca="1" si="7"/>
        <v/>
      </c>
      <c r="O48" s="6" t="str">
        <f t="shared" ca="1" si="7"/>
        <v/>
      </c>
      <c r="P48" s="6" t="str">
        <f t="shared" ca="1" si="7"/>
        <v/>
      </c>
      <c r="Q48" s="6" t="str">
        <f t="shared" ca="1" si="7"/>
        <v/>
      </c>
      <c r="R48" s="6" t="str">
        <f t="shared" ca="1" si="7"/>
        <v/>
      </c>
      <c r="S48" s="6" t="str">
        <f t="shared" ca="1" si="7"/>
        <v/>
      </c>
      <c r="T48" s="6" t="str">
        <f t="shared" ca="1" si="7"/>
        <v/>
      </c>
      <c r="U48" s="6" t="str">
        <f t="shared" ca="1" si="7"/>
        <v/>
      </c>
      <c r="V48" s="6" t="str">
        <f t="shared" ca="1" si="7"/>
        <v/>
      </c>
      <c r="W48" s="6" t="str">
        <f t="shared" ca="1" si="7"/>
        <v/>
      </c>
      <c r="X48" s="6" t="str">
        <f t="shared" ca="1" si="7"/>
        <v/>
      </c>
      <c r="Y48" s="6" t="str">
        <f t="shared" ca="1" si="7"/>
        <v/>
      </c>
      <c r="Z48" s="6" t="str">
        <f t="shared" ca="1" si="7"/>
        <v/>
      </c>
      <c r="AA48" s="6" t="str">
        <f t="shared" ca="1" si="7"/>
        <v/>
      </c>
      <c r="AB48" s="6" t="str">
        <f t="shared" ca="1" si="7"/>
        <v/>
      </c>
      <c r="AC48" s="6" t="str">
        <f t="shared" ca="1" si="7"/>
        <v/>
      </c>
      <c r="AD48" s="6" t="str">
        <f t="shared" ca="1" si="7"/>
        <v/>
      </c>
      <c r="AE48" s="6" t="str">
        <f t="shared" ca="1" si="7"/>
        <v/>
      </c>
      <c r="AF48" s="6">
        <f t="shared" ca="1" si="7"/>
        <v>1</v>
      </c>
      <c r="AG48" s="6" t="str">
        <f t="shared" ca="1" si="7"/>
        <v/>
      </c>
      <c r="AH48" s="6" t="str">
        <f t="shared" ca="1" si="7"/>
        <v/>
      </c>
      <c r="AI48" s="6" t="str">
        <f t="shared" ca="1" si="7"/>
        <v/>
      </c>
      <c r="AJ48" s="6" t="str">
        <f t="shared" ca="1" si="7"/>
        <v/>
      </c>
      <c r="AK48" s="6" t="str">
        <f t="shared" ca="1" si="7"/>
        <v/>
      </c>
      <c r="AL48" s="6" t="str">
        <f t="shared" ca="1" si="7"/>
        <v/>
      </c>
      <c r="AM48" s="6" t="str">
        <f t="shared" ca="1" si="7"/>
        <v/>
      </c>
      <c r="AN48" s="6" t="str">
        <f t="shared" ca="1" si="7"/>
        <v/>
      </c>
    </row>
    <row r="49" spans="2:40" ht="19.899999999999999" customHeight="1" x14ac:dyDescent="0.3">
      <c r="B49" s="72"/>
      <c r="C49" s="72"/>
      <c r="D49" s="7" t="str">
        <f t="shared" ref="D49:K49" ca="1" si="8">IF(OR(NOT(ISNUMBER(D39)),D39&lt;Job2_StartDate),"",IF(MID(Job2_Pattern,MOD(D39-Job2_StartDate,LEN(Job2_Pattern))+1,1)=Job2_Shift1_Code,1,IF(MID(Job2_Pattern,MOD(D39-Job2_StartDate,LEN(Job2_Pattern))+1,1)=Job2_Shift2_Code,2,IF(MID(Job2_Pattern,MOD(D39-Job2_StartDate,LEN(Job2_Pattern))+1,1)=Job2_Shift3_Code,3,""))))</f>
        <v/>
      </c>
      <c r="E49" s="7" t="str">
        <f t="shared" ca="1" si="8"/>
        <v/>
      </c>
      <c r="F49" s="7" t="str">
        <f t="shared" ca="1" si="8"/>
        <v/>
      </c>
      <c r="G49" s="7" t="str">
        <f t="shared" ca="1" si="8"/>
        <v/>
      </c>
      <c r="H49" s="7" t="str">
        <f t="shared" ca="1" si="8"/>
        <v/>
      </c>
      <c r="I49" s="7" t="str">
        <f t="shared" ca="1" si="8"/>
        <v/>
      </c>
      <c r="J49" s="7" t="str">
        <f t="shared" ca="1" si="8"/>
        <v/>
      </c>
      <c r="K49" s="7" t="str">
        <f t="shared" ca="1" si="8"/>
        <v/>
      </c>
      <c r="L49" s="7" t="str">
        <f ca="1">IF(OR(NOT(ISNUMBER(L39)),L39&lt;Job2_StartDate),"",IF(MID(Job2_Pattern,MOD(L39-Job2_StartDate,LEN(Job2_Pattern))+1,1)=Job2_Shift1_Code,1,IF(MID(Job2_Pattern,MOD(L39-Job2_StartDate,LEN(Job2_Pattern))+1,1)=Job2_Shift2_Code,2,IF(MID(Job2_Pattern,MOD(L39-Job2_StartDate,LEN(Job2_Pattern))+1,1)=Job2_Shift3_Code,3,""))))</f>
        <v/>
      </c>
      <c r="M49" s="7" t="str">
        <f t="shared" ref="M49:AN49" ca="1" si="9">IF(OR(NOT(ISNUMBER(M39)),M39&lt;Job2_StartDate),"",IF(MID(Job2_Pattern,MOD(M39-Job2_StartDate,LEN(Job2_Pattern))+1,1)=Job2_Shift1_Code,1,IF(MID(Job2_Pattern,MOD(M39-Job2_StartDate,LEN(Job2_Pattern))+1,1)=Job2_Shift2_Code,2,IF(MID(Job2_Pattern,MOD(M39-Job2_StartDate,LEN(Job2_Pattern))+1,1)=Job2_Shift3_Code,3,""))))</f>
        <v/>
      </c>
      <c r="N49" s="7" t="str">
        <f t="shared" ca="1" si="9"/>
        <v/>
      </c>
      <c r="O49" s="7" t="str">
        <f t="shared" ca="1" si="9"/>
        <v/>
      </c>
      <c r="P49" s="7" t="str">
        <f t="shared" ca="1" si="9"/>
        <v/>
      </c>
      <c r="Q49" s="7" t="str">
        <f t="shared" ca="1" si="9"/>
        <v/>
      </c>
      <c r="R49" s="7" t="str">
        <f t="shared" ca="1" si="9"/>
        <v/>
      </c>
      <c r="S49" s="7" t="str">
        <f t="shared" ca="1" si="9"/>
        <v/>
      </c>
      <c r="T49" s="7" t="str">
        <f t="shared" ca="1" si="9"/>
        <v/>
      </c>
      <c r="U49" s="7" t="str">
        <f t="shared" ca="1" si="9"/>
        <v/>
      </c>
      <c r="V49" s="7" t="str">
        <f t="shared" ca="1" si="9"/>
        <v/>
      </c>
      <c r="W49" s="7" t="str">
        <f t="shared" ca="1" si="9"/>
        <v/>
      </c>
      <c r="X49" s="7" t="str">
        <f t="shared" ca="1" si="9"/>
        <v/>
      </c>
      <c r="Y49" s="7" t="str">
        <f t="shared" ca="1" si="9"/>
        <v/>
      </c>
      <c r="Z49" s="7" t="str">
        <f t="shared" ca="1" si="9"/>
        <v/>
      </c>
      <c r="AA49" s="7" t="str">
        <f t="shared" ca="1" si="9"/>
        <v/>
      </c>
      <c r="AB49" s="7" t="str">
        <f t="shared" ca="1" si="9"/>
        <v/>
      </c>
      <c r="AC49" s="7" t="str">
        <f t="shared" ca="1" si="9"/>
        <v/>
      </c>
      <c r="AD49" s="7" t="str">
        <f t="shared" ca="1" si="9"/>
        <v/>
      </c>
      <c r="AE49" s="7">
        <f t="shared" ca="1" si="9"/>
        <v>2</v>
      </c>
      <c r="AF49" s="7" t="str">
        <f t="shared" ca="1" si="9"/>
        <v/>
      </c>
      <c r="AG49" s="7" t="str">
        <f t="shared" ca="1" si="9"/>
        <v/>
      </c>
      <c r="AH49" s="7" t="str">
        <f t="shared" ca="1" si="9"/>
        <v/>
      </c>
      <c r="AI49" s="7" t="str">
        <f t="shared" ca="1" si="9"/>
        <v/>
      </c>
      <c r="AJ49" s="7" t="str">
        <f t="shared" ca="1" si="9"/>
        <v/>
      </c>
      <c r="AK49" s="7" t="str">
        <f t="shared" ca="1" si="9"/>
        <v/>
      </c>
      <c r="AL49" s="7" t="str">
        <f t="shared" ca="1" si="9"/>
        <v/>
      </c>
      <c r="AM49" s="7" t="str">
        <f t="shared" ca="1" si="9"/>
        <v/>
      </c>
      <c r="AN49" s="7" t="str">
        <f t="shared" ca="1" si="9"/>
        <v/>
      </c>
    </row>
    <row r="50" spans="2:40" ht="19.899999999999999" customHeight="1" x14ac:dyDescent="0.3">
      <c r="B50" s="73"/>
      <c r="C50" s="73"/>
      <c r="D50" s="7" t="str">
        <f t="shared" ref="D50:AN50" ca="1" si="10">IF(OR(NOT(ISNUMBER(D39)),D39&lt;Job3_StartDate),"",IF(MID(Job3_Pattern,MOD(D39-Job3_StartDate,LEN(Job3_Pattern))+1,1)=Job3_Shift1_Code,1,IF(MID(Job3_Pattern,MOD(D39-Job3_StartDate,LEN(Job3_Pattern))+1,1)=Job3_Shift2_Code,2,IF(MID(Job3_Pattern,MOD(D39-Job3_StartDate,LEN(Job3_Pattern))+1,1)=Job3_Shift3_Code,3,""))))</f>
        <v/>
      </c>
      <c r="E50" s="7" t="str">
        <f t="shared" ca="1" si="10"/>
        <v/>
      </c>
      <c r="F50" s="7" t="str">
        <f t="shared" ca="1" si="10"/>
        <v/>
      </c>
      <c r="G50" s="7" t="str">
        <f t="shared" ca="1" si="10"/>
        <v/>
      </c>
      <c r="H50" s="7" t="str">
        <f t="shared" ca="1" si="10"/>
        <v/>
      </c>
      <c r="I50" s="7" t="str">
        <f t="shared" ca="1" si="10"/>
        <v/>
      </c>
      <c r="J50" s="7" t="str">
        <f t="shared" ca="1" si="10"/>
        <v/>
      </c>
      <c r="K50" s="7" t="str">
        <f t="shared" ca="1" si="10"/>
        <v/>
      </c>
      <c r="L50" s="7" t="str">
        <f t="shared" ca="1" si="10"/>
        <v/>
      </c>
      <c r="M50" s="7" t="str">
        <f t="shared" ca="1" si="10"/>
        <v/>
      </c>
      <c r="N50" s="7" t="str">
        <f t="shared" ca="1" si="10"/>
        <v/>
      </c>
      <c r="O50" s="7" t="str">
        <f t="shared" ca="1" si="10"/>
        <v/>
      </c>
      <c r="P50" s="7" t="str">
        <f t="shared" ca="1" si="10"/>
        <v/>
      </c>
      <c r="Q50" s="7" t="str">
        <f t="shared" ca="1" si="10"/>
        <v/>
      </c>
      <c r="R50" s="7" t="str">
        <f t="shared" ca="1" si="10"/>
        <v/>
      </c>
      <c r="S50" s="7" t="str">
        <f t="shared" ca="1" si="10"/>
        <v/>
      </c>
      <c r="T50" s="7" t="str">
        <f t="shared" ca="1" si="10"/>
        <v/>
      </c>
      <c r="U50" s="7" t="str">
        <f t="shared" ca="1" si="10"/>
        <v/>
      </c>
      <c r="V50" s="7" t="str">
        <f t="shared" ca="1" si="10"/>
        <v/>
      </c>
      <c r="W50" s="7" t="str">
        <f t="shared" ca="1" si="10"/>
        <v/>
      </c>
      <c r="X50" s="7" t="str">
        <f t="shared" ca="1" si="10"/>
        <v/>
      </c>
      <c r="Y50" s="7" t="str">
        <f t="shared" ca="1" si="10"/>
        <v/>
      </c>
      <c r="Z50" s="7" t="str">
        <f t="shared" ca="1" si="10"/>
        <v/>
      </c>
      <c r="AA50" s="7" t="str">
        <f t="shared" ca="1" si="10"/>
        <v/>
      </c>
      <c r="AB50" s="7" t="str">
        <f t="shared" ca="1" si="10"/>
        <v/>
      </c>
      <c r="AC50" s="7" t="str">
        <f t="shared" ca="1" si="10"/>
        <v/>
      </c>
      <c r="AD50" s="7" t="str">
        <f t="shared" ca="1" si="10"/>
        <v/>
      </c>
      <c r="AE50" s="7" t="str">
        <f t="shared" ca="1" si="10"/>
        <v/>
      </c>
      <c r="AF50" s="7">
        <f t="shared" ca="1" si="10"/>
        <v>3</v>
      </c>
      <c r="AG50" s="7" t="str">
        <f t="shared" ca="1" si="10"/>
        <v/>
      </c>
      <c r="AH50" s="7" t="str">
        <f t="shared" ca="1" si="10"/>
        <v/>
      </c>
      <c r="AI50" s="7" t="str">
        <f t="shared" ca="1" si="10"/>
        <v/>
      </c>
      <c r="AJ50" s="7" t="str">
        <f t="shared" ca="1" si="10"/>
        <v/>
      </c>
      <c r="AK50" s="7" t="str">
        <f t="shared" ca="1" si="10"/>
        <v/>
      </c>
      <c r="AL50" s="7" t="str">
        <f t="shared" ca="1" si="10"/>
        <v/>
      </c>
      <c r="AM50" s="7" t="str">
        <f t="shared" ca="1" si="10"/>
        <v/>
      </c>
      <c r="AN50" s="7" t="str">
        <f t="shared" ca="1" si="10"/>
        <v/>
      </c>
    </row>
    <row r="51" spans="2:40" ht="19.899999999999999" customHeight="1" thickBot="1" x14ac:dyDescent="0.35">
      <c r="B51" s="74"/>
      <c r="C51" s="74"/>
    </row>
    <row r="52" spans="2:40" s="75" customFormat="1" ht="19.899999999999999" customHeight="1" x14ac:dyDescent="0.3">
      <c r="B52" s="211">
        <f ca="1">DATE(CalendarYear,5,1)</f>
        <v>46143</v>
      </c>
      <c r="C52" s="77"/>
      <c r="D52" s="213" t="s">
        <v>5</v>
      </c>
      <c r="E52" s="214"/>
      <c r="F52" s="214"/>
      <c r="G52" s="214"/>
      <c r="H52" s="215"/>
      <c r="I52" s="213" t="s">
        <v>6</v>
      </c>
      <c r="J52" s="214"/>
      <c r="K52" s="214"/>
      <c r="L52" s="214"/>
      <c r="M52" s="215"/>
      <c r="N52" s="213" t="s">
        <v>7</v>
      </c>
      <c r="O52" s="214"/>
      <c r="P52" s="214"/>
      <c r="Q52" s="214"/>
      <c r="R52" s="215"/>
      <c r="S52" s="213" t="s">
        <v>8</v>
      </c>
      <c r="T52" s="214"/>
      <c r="U52" s="214"/>
      <c r="V52" s="214"/>
      <c r="W52" s="215"/>
      <c r="X52" s="9"/>
      <c r="Y52" s="9"/>
      <c r="Z52" s="9"/>
      <c r="AA52" s="9"/>
      <c r="AB52" s="9"/>
      <c r="AC52" s="9">
        <f ca="1">IF(DAY(MaySun1)=1,IF(AND(YEAR(MaySun1+19)=CalendarYear,MONTH(MaySun1+19)=5),MaySun1+19,""),IF(AND(YEAR(MaySun1+26)=CalendarYear,MONTH(MaySun1+26)=5),MaySun1+26,""))</f>
        <v>46163</v>
      </c>
      <c r="AD52" s="9">
        <f ca="1">IF(DAY(MaySun1)=1,IF(AND(YEAR(MaySun1+20)=CalendarYear,MONTH(MaySun1+20)=5),MaySun1+20,""),IF(AND(YEAR(MaySun1+27)=CalendarYear,MONTH(MaySun1+27)=5),MaySun1+27,""))</f>
        <v>46164</v>
      </c>
      <c r="AE52" s="9">
        <f ca="1">IF(DAY(MaySun1)=1,IF(AND(YEAR(MaySun1+21)=CalendarYear,MONTH(MaySun1+21)=5),MaySun1+21,""),IF(AND(YEAR(MaySun1+28)=CalendarYear,MONTH(MaySun1+28)=5),MaySun1+28,""))</f>
        <v>46165</v>
      </c>
      <c r="AF52" s="9">
        <f ca="1">IF(DAY(MaySun1)=1,IF(AND(YEAR(MaySun1+22)=CalendarYear,MONTH(MaySun1+22)=5),MaySun1+22,""),IF(AND(YEAR(MaySun1+29)=CalendarYear,MONTH(MaySun1+29)=5),MaySun1+29,""))</f>
        <v>46166</v>
      </c>
      <c r="AG52" s="9">
        <f ca="1">IF(DAY(MaySun1)=1,IF(AND(YEAR(MaySun1+23)=CalendarYear,MONTH(MaySun1+23)=5),MaySun1+23,""),IF(AND(YEAR(MaySun1+30)=CalendarYear,MONTH(MaySun1+30)=5),MaySun1+30,""))</f>
        <v>46167</v>
      </c>
      <c r="AH52" s="9">
        <f ca="1">IF(DAY(MaySun1)=1,IF(AND(YEAR(MaySun1+24)=CalendarYear,MONTH(MaySun1+24)=5),MaySun1+24,""),IF(AND(YEAR(MaySun1+31)=CalendarYear,MONTH(MaySun1+31)=5),MaySun1+31,""))</f>
        <v>46168</v>
      </c>
      <c r="AI52" s="9">
        <f ca="1">IF(DAY(MaySun1)=1,IF(AND(YEAR(MaySun1+25)=CalendarYear,MONTH(MaySun1+25)=5),MaySun1+25,""),IF(AND(YEAR(MaySun1+32)=CalendarYear,MONTH(MaySun1+32)=5),MaySun1+32,""))</f>
        <v>46169</v>
      </c>
      <c r="AJ52" s="9">
        <f ca="1">IF(DAY(MaySun1)=1,IF(AND(YEAR(MaySun1+26)=CalendarYear,MONTH(MaySun1+26)=5),MaySun1+26,""),IF(AND(YEAR(MaySun1+33)=CalendarYear,MONTH(MaySun1+33)=5),MaySun1+33,""))</f>
        <v>46170</v>
      </c>
      <c r="AK52" s="9">
        <f ca="1">IF(DAY(MaySun1)=1,IF(AND(YEAR(MaySun1+27)=CalendarYear,MONTH(MaySun1+27)=5),MaySun1+27,""),IF(AND(YEAR(MaySun1+34)=CalendarYear,MONTH(MaySun1+34)=5),MaySun1+34,""))</f>
        <v>46171</v>
      </c>
      <c r="AL52" s="9">
        <f ca="1">IF(DAY(MaySun1)=1,IF(AND(YEAR(MaySun1+28)=CalendarYear,MONTH(MaySun1+28)=5),MaySun1+28,""),IF(AND(YEAR(MaySun1+35)=CalendarYear,MONTH(MaySun1+35)=5),MaySun1+35,""))</f>
        <v>46172</v>
      </c>
      <c r="AM52" s="9">
        <f ca="1">IF(DAY(MaySun1)=1,IF(AND(YEAR(MaySun1+29)=CalendarYear,MONTH(MaySun1+29)=5),MaySun1+29,""),IF(AND(YEAR(MaySun1+36)=CalendarYear,MONTH(MaySun1+36)=5),MaySun1+36,""))</f>
        <v>46173</v>
      </c>
      <c r="AN52" s="11" t="str">
        <f ca="1">IF(DAY(MaySun1)=1,IF(AND(YEAR(MaySun1+30)=CalendarYear,MONTH(MaySun1+30)=5),MaySun1+30,""),IF(AND(YEAR(MaySun1+37)=CalendarYear,MONTH(MaySun1+37)=5),MaySun1+37,""))</f>
        <v/>
      </c>
    </row>
    <row r="53" spans="2:40" s="75" customFormat="1" ht="19.899999999999999" customHeight="1" x14ac:dyDescent="0.3">
      <c r="B53" s="212"/>
      <c r="C53" s="78"/>
      <c r="D53" s="225" t="s">
        <v>45</v>
      </c>
      <c r="E53" s="226"/>
      <c r="F53" s="226"/>
      <c r="G53" s="226"/>
      <c r="H53" s="227"/>
      <c r="I53" s="225" t="s">
        <v>46</v>
      </c>
      <c r="J53" s="226"/>
      <c r="K53" s="226"/>
      <c r="L53" s="226"/>
      <c r="M53" s="227"/>
      <c r="N53" s="225" t="s">
        <v>47</v>
      </c>
      <c r="O53" s="226"/>
      <c r="P53" s="226"/>
      <c r="Q53" s="226"/>
      <c r="R53" s="227"/>
      <c r="S53" s="225" t="s">
        <v>48</v>
      </c>
      <c r="T53" s="226"/>
      <c r="U53" s="226"/>
      <c r="V53" s="226"/>
      <c r="W53" s="227"/>
      <c r="X53" s="10"/>
      <c r="Y53" s="10"/>
      <c r="Z53" s="10"/>
      <c r="AA53" s="10"/>
      <c r="AB53" s="10"/>
      <c r="AC53" s="10" t="s">
        <v>16</v>
      </c>
      <c r="AD53" s="10" t="s">
        <v>13</v>
      </c>
      <c r="AE53" s="10" t="s">
        <v>14</v>
      </c>
      <c r="AF53" s="10" t="s">
        <v>15</v>
      </c>
      <c r="AG53" s="10" t="s">
        <v>9</v>
      </c>
      <c r="AH53" s="10" t="s">
        <v>10</v>
      </c>
      <c r="AI53" s="10" t="s">
        <v>11</v>
      </c>
      <c r="AJ53" s="10" t="s">
        <v>16</v>
      </c>
      <c r="AK53" s="10" t="s">
        <v>13</v>
      </c>
      <c r="AL53" s="10" t="s">
        <v>14</v>
      </c>
      <c r="AM53" s="10" t="s">
        <v>15</v>
      </c>
      <c r="AN53" s="12" t="s">
        <v>9</v>
      </c>
    </row>
    <row r="54" spans="2:40" ht="19.899999999999999" customHeight="1" x14ac:dyDescent="0.3">
      <c r="B54" s="83" t="s">
        <v>21</v>
      </c>
      <c r="C54" s="92" t="s">
        <v>128</v>
      </c>
      <c r="D54" s="193"/>
      <c r="E54" s="194"/>
      <c r="F54" s="194"/>
      <c r="G54" s="194"/>
      <c r="H54" s="195"/>
      <c r="I54" s="193"/>
      <c r="J54" s="194"/>
      <c r="K54" s="194"/>
      <c r="L54" s="194"/>
      <c r="M54" s="195"/>
      <c r="N54" s="193"/>
      <c r="O54" s="194"/>
      <c r="P54" s="194"/>
      <c r="Q54" s="194"/>
      <c r="R54" s="195"/>
      <c r="S54" s="193"/>
      <c r="T54" s="194"/>
      <c r="U54" s="194"/>
      <c r="V54" s="194"/>
      <c r="W54" s="195"/>
      <c r="X54" s="193"/>
      <c r="Y54" s="194"/>
      <c r="Z54" s="194"/>
      <c r="AA54" s="194"/>
      <c r="AB54" s="195"/>
      <c r="AC54" s="6" t="str">
        <f t="shared" ref="AC54:AN54" ca="1" si="11">IF(OR(NOT(ISNUMBER(AC52)),AC52&lt;Job1_StartDate),"",IF(MID(Job1_Pattern,MOD(AC52-Job1_StartDate,LEN(Job1_Pattern))+1,1)=Job1_Shift1_Code,1,IF(MID(Job1_Pattern,MOD(AC52-Job1_StartDate,LEN(Job1_Pattern))+1,1)=Job1_Shift2_Code,2,IF(MID(Job1_Pattern,MOD(AC52-Job1_StartDate,LEN(Job1_Pattern))+1,1)=Job1_Shift3_Code,3,""))))</f>
        <v/>
      </c>
      <c r="AD54" s="6" t="str">
        <f t="shared" ca="1" si="11"/>
        <v/>
      </c>
      <c r="AE54" s="6" t="str">
        <f t="shared" ca="1" si="11"/>
        <v/>
      </c>
      <c r="AF54" s="6">
        <f t="shared" ca="1" si="11"/>
        <v>1</v>
      </c>
      <c r="AG54" s="6" t="str">
        <f t="shared" ca="1" si="11"/>
        <v/>
      </c>
      <c r="AH54" s="6" t="str">
        <f t="shared" ca="1" si="11"/>
        <v/>
      </c>
      <c r="AI54" s="6" t="str">
        <f t="shared" ca="1" si="11"/>
        <v/>
      </c>
      <c r="AJ54" s="6">
        <f t="shared" ca="1" si="11"/>
        <v>1</v>
      </c>
      <c r="AK54" s="6" t="str">
        <f t="shared" ca="1" si="11"/>
        <v/>
      </c>
      <c r="AL54" s="6" t="str">
        <f t="shared" ca="1" si="11"/>
        <v/>
      </c>
      <c r="AM54" s="6" t="str">
        <f t="shared" ca="1" si="11"/>
        <v/>
      </c>
      <c r="AN54" s="6" t="str">
        <f t="shared" ca="1" si="11"/>
        <v/>
      </c>
    </row>
    <row r="55" spans="2:40" ht="19.899999999999999" customHeight="1" x14ac:dyDescent="0.3">
      <c r="B55" s="84"/>
      <c r="C55" s="91"/>
      <c r="D55" s="205" t="s">
        <v>123</v>
      </c>
      <c r="E55" s="206"/>
      <c r="F55" s="206"/>
      <c r="G55" s="206"/>
      <c r="H55" s="207"/>
      <c r="I55" s="205" t="s">
        <v>119</v>
      </c>
      <c r="J55" s="206"/>
      <c r="K55" s="206"/>
      <c r="L55" s="206"/>
      <c r="M55" s="207"/>
      <c r="N55" s="193" t="s">
        <v>129</v>
      </c>
      <c r="O55" s="194"/>
      <c r="P55" s="194"/>
      <c r="Q55" s="194"/>
      <c r="R55" s="195"/>
      <c r="S55" s="193" t="s">
        <v>104</v>
      </c>
      <c r="T55" s="194"/>
      <c r="U55" s="194"/>
      <c r="V55" s="194"/>
      <c r="W55" s="195"/>
      <c r="X55" s="193"/>
      <c r="Y55" s="194"/>
      <c r="Z55" s="194"/>
      <c r="AA55" s="194"/>
      <c r="AB55" s="195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</row>
    <row r="56" spans="2:40" ht="19.899999999999999" customHeight="1" x14ac:dyDescent="0.3">
      <c r="B56" s="84" t="s">
        <v>25</v>
      </c>
      <c r="C56" s="91"/>
      <c r="D56" s="270" t="s">
        <v>130</v>
      </c>
      <c r="E56" s="271"/>
      <c r="F56" s="271"/>
      <c r="G56" s="271"/>
      <c r="H56" s="272"/>
      <c r="I56" s="205" t="s">
        <v>124</v>
      </c>
      <c r="J56" s="206"/>
      <c r="K56" s="206"/>
      <c r="L56" s="206"/>
      <c r="M56" s="207"/>
      <c r="N56" s="205" t="s">
        <v>131</v>
      </c>
      <c r="O56" s="206"/>
      <c r="P56" s="206"/>
      <c r="Q56" s="206"/>
      <c r="R56" s="207"/>
      <c r="S56" s="205" t="s">
        <v>132</v>
      </c>
      <c r="T56" s="206"/>
      <c r="U56" s="206"/>
      <c r="V56" s="206"/>
      <c r="W56" s="207"/>
      <c r="X56" s="193"/>
      <c r="Y56" s="194"/>
      <c r="Z56" s="194"/>
      <c r="AA56" s="194"/>
      <c r="AB56" s="195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</row>
    <row r="57" spans="2:40" ht="19.899999999999999" customHeight="1" x14ac:dyDescent="0.3">
      <c r="B57" s="84" t="s">
        <v>27</v>
      </c>
      <c r="C57" s="91"/>
      <c r="D57" s="193" t="s">
        <v>119</v>
      </c>
      <c r="E57" s="194"/>
      <c r="F57" s="194"/>
      <c r="G57" s="194"/>
      <c r="H57" s="195"/>
      <c r="I57" s="205" t="s">
        <v>133</v>
      </c>
      <c r="J57" s="206"/>
      <c r="K57" s="206"/>
      <c r="L57" s="206"/>
      <c r="M57" s="207"/>
      <c r="N57" s="205" t="s">
        <v>134</v>
      </c>
      <c r="O57" s="206"/>
      <c r="P57" s="206"/>
      <c r="Q57" s="206"/>
      <c r="R57" s="207"/>
      <c r="S57" s="208" t="s">
        <v>116</v>
      </c>
      <c r="T57" s="209"/>
      <c r="U57" s="209"/>
      <c r="V57" s="209"/>
      <c r="W57" s="210"/>
      <c r="X57" s="208"/>
      <c r="Y57" s="209"/>
      <c r="Z57" s="209"/>
      <c r="AA57" s="209"/>
      <c r="AB57" s="210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</row>
    <row r="58" spans="2:40" ht="19.899999999999999" customHeight="1" x14ac:dyDescent="0.3">
      <c r="B58" s="84" t="s">
        <v>135</v>
      </c>
      <c r="C58" s="91"/>
      <c r="D58" s="205" t="s">
        <v>109</v>
      </c>
      <c r="E58" s="206"/>
      <c r="F58" s="206"/>
      <c r="G58" s="206"/>
      <c r="H58" s="207"/>
      <c r="I58" s="205" t="s">
        <v>111</v>
      </c>
      <c r="J58" s="206"/>
      <c r="K58" s="206"/>
      <c r="L58" s="206"/>
      <c r="M58" s="207"/>
      <c r="N58" s="205" t="s">
        <v>112</v>
      </c>
      <c r="O58" s="206"/>
      <c r="P58" s="206"/>
      <c r="Q58" s="206"/>
      <c r="R58" s="207"/>
      <c r="S58" s="264" t="s">
        <v>126</v>
      </c>
      <c r="T58" s="265"/>
      <c r="U58" s="265"/>
      <c r="V58" s="265"/>
      <c r="W58" s="266"/>
      <c r="X58" s="153"/>
      <c r="Y58" s="154"/>
      <c r="Z58" s="154"/>
      <c r="AA58" s="154"/>
      <c r="AB58" s="155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</row>
    <row r="59" spans="2:40" ht="19.899999999999999" customHeight="1" x14ac:dyDescent="0.3">
      <c r="B59" s="84" t="s">
        <v>136</v>
      </c>
      <c r="C59" s="157"/>
      <c r="D59" s="267" t="s">
        <v>137</v>
      </c>
      <c r="E59" s="268"/>
      <c r="F59" s="268"/>
      <c r="G59" s="268"/>
      <c r="H59" s="269"/>
      <c r="I59" s="205" t="s">
        <v>138</v>
      </c>
      <c r="J59" s="206"/>
      <c r="K59" s="206"/>
      <c r="L59" s="206"/>
      <c r="M59" s="207"/>
      <c r="N59" s="205" t="s">
        <v>125</v>
      </c>
      <c r="O59" s="206"/>
      <c r="P59" s="206"/>
      <c r="Q59" s="206"/>
      <c r="R59" s="207"/>
      <c r="S59" s="205" t="s">
        <v>113</v>
      </c>
      <c r="T59" s="206"/>
      <c r="U59" s="206"/>
      <c r="V59" s="206"/>
      <c r="W59" s="207"/>
      <c r="X59" s="193"/>
      <c r="Y59" s="194"/>
      <c r="Z59" s="194"/>
      <c r="AA59" s="194"/>
      <c r="AB59" s="195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</row>
    <row r="60" spans="2:40" ht="19.899999999999999" customHeight="1" x14ac:dyDescent="0.3">
      <c r="B60" s="84" t="s">
        <v>31</v>
      </c>
      <c r="C60" s="15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2:40" ht="19.899999999999999" customHeight="1" x14ac:dyDescent="0.3">
      <c r="B61" s="85" t="s">
        <v>139</v>
      </c>
      <c r="C61" s="15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2:40" ht="19.899999999999999" customHeight="1" x14ac:dyDescent="0.3">
      <c r="B62" s="85" t="s">
        <v>29</v>
      </c>
      <c r="C62" s="15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</row>
    <row r="63" spans="2:40" ht="19.899999999999999" customHeight="1" x14ac:dyDescent="0.3">
      <c r="B63" s="72"/>
      <c r="C63" s="72"/>
      <c r="D63" s="7" t="str">
        <f t="shared" ref="D63:AN63" ca="1" si="12">IF(OR(NOT(ISNUMBER(D52)),D52&lt;Job2_StartDate),"",IF(MID(Job2_Pattern,MOD(D52-Job2_StartDate,LEN(Job2_Pattern))+1,1)=Job2_Shift1_Code,1,IF(MID(Job2_Pattern,MOD(D52-Job2_StartDate,LEN(Job2_Pattern))+1,1)=Job2_Shift2_Code,2,IF(MID(Job2_Pattern,MOD(D52-Job2_StartDate,LEN(Job2_Pattern))+1,1)=Job2_Shift3_Code,3,""))))</f>
        <v/>
      </c>
      <c r="E63" s="7" t="str">
        <f t="shared" ca="1" si="12"/>
        <v/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 t="str">
        <f t="shared" ca="1" si="12"/>
        <v/>
      </c>
      <c r="Z63" s="7" t="str">
        <f t="shared" ca="1" si="12"/>
        <v/>
      </c>
      <c r="AA63" s="7" t="str">
        <f t="shared" ca="1" si="12"/>
        <v/>
      </c>
      <c r="AB63" s="7" t="str">
        <f t="shared" ca="1" si="12"/>
        <v/>
      </c>
      <c r="AC63" s="7" t="str">
        <f t="shared" ca="1" si="12"/>
        <v/>
      </c>
      <c r="AD63" s="7" t="str">
        <f t="shared" ca="1" si="12"/>
        <v/>
      </c>
      <c r="AE63" s="7">
        <f t="shared" ca="1" si="12"/>
        <v>2</v>
      </c>
      <c r="AF63" s="7" t="str">
        <f t="shared" ca="1" si="12"/>
        <v/>
      </c>
      <c r="AG63" s="7" t="str">
        <f t="shared" ca="1" si="12"/>
        <v/>
      </c>
      <c r="AH63" s="7" t="str">
        <f t="shared" ca="1" si="12"/>
        <v/>
      </c>
      <c r="AI63" s="7">
        <f t="shared" ca="1" si="12"/>
        <v>2</v>
      </c>
      <c r="AJ63" s="7" t="str">
        <f t="shared" ca="1" si="12"/>
        <v/>
      </c>
      <c r="AK63" s="7" t="str">
        <f t="shared" ca="1" si="12"/>
        <v/>
      </c>
      <c r="AL63" s="7" t="str">
        <f t="shared" ca="1" si="12"/>
        <v/>
      </c>
      <c r="AM63" s="7">
        <f t="shared" ca="1" si="12"/>
        <v>2</v>
      </c>
      <c r="AN63" s="7" t="str">
        <f t="shared" ca="1" si="12"/>
        <v/>
      </c>
    </row>
    <row r="64" spans="2:40" ht="19.899999999999999" customHeight="1" x14ac:dyDescent="0.3">
      <c r="B64" s="73"/>
      <c r="C64" s="73"/>
      <c r="D64" s="7" t="str">
        <f t="shared" ref="D64:AN64" ca="1" si="13">IF(OR(NOT(ISNUMBER(D52)),D52&lt;Job3_StartDate),"",IF(MID(Job3_Pattern,MOD(D52-Job3_StartDate,LEN(Job3_Pattern))+1,1)=Job3_Shift1_Code,1,IF(MID(Job3_Pattern,MOD(D52-Job3_StartDate,LEN(Job3_Pattern))+1,1)=Job3_Shift2_Code,2,IF(MID(Job3_Pattern,MOD(D52-Job3_StartDate,LEN(Job3_Pattern))+1,1)=Job3_Shift3_Code,3,""))))</f>
        <v/>
      </c>
      <c r="E64" s="7" t="str">
        <f t="shared" ca="1" si="13"/>
        <v/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 t="str">
        <f t="shared" ca="1" si="13"/>
        <v/>
      </c>
      <c r="Z64" s="7" t="str">
        <f t="shared" ca="1" si="13"/>
        <v/>
      </c>
      <c r="AA64" s="7" t="str">
        <f t="shared" ca="1" si="13"/>
        <v/>
      </c>
      <c r="AB64" s="7" t="str">
        <f t="shared" ca="1" si="13"/>
        <v/>
      </c>
      <c r="AC64" s="7" t="str">
        <f t="shared" ca="1" si="13"/>
        <v/>
      </c>
      <c r="AD64" s="7" t="str">
        <f t="shared" ca="1" si="13"/>
        <v/>
      </c>
      <c r="AE64" s="7" t="str">
        <f t="shared" ca="1" si="13"/>
        <v/>
      </c>
      <c r="AF64" s="7">
        <f t="shared" ca="1" si="13"/>
        <v>3</v>
      </c>
      <c r="AG64" s="7" t="str">
        <f t="shared" ca="1" si="13"/>
        <v/>
      </c>
      <c r="AH64" s="7" t="str">
        <f t="shared" ca="1" si="13"/>
        <v/>
      </c>
      <c r="AI64" s="7" t="str">
        <f t="shared" ca="1" si="13"/>
        <v/>
      </c>
      <c r="AJ64" s="7">
        <f t="shared" ca="1" si="13"/>
        <v>3</v>
      </c>
      <c r="AK64" s="7" t="str">
        <f t="shared" ca="1" si="13"/>
        <v/>
      </c>
      <c r="AL64" s="7" t="str">
        <f t="shared" ca="1" si="13"/>
        <v/>
      </c>
      <c r="AM64" s="7" t="str">
        <f t="shared" ca="1" si="13"/>
        <v/>
      </c>
      <c r="AN64" s="7" t="str">
        <f t="shared" ca="1" si="13"/>
        <v/>
      </c>
    </row>
    <row r="65" spans="2:40" ht="19.899999999999999" customHeight="1" thickBot="1" x14ac:dyDescent="0.35">
      <c r="B65" s="74"/>
      <c r="C65" s="74"/>
    </row>
    <row r="66" spans="2:40" s="75" customFormat="1" ht="19.899999999999999" customHeight="1" x14ac:dyDescent="0.3">
      <c r="B66" s="211">
        <v>46174</v>
      </c>
      <c r="C66" s="77"/>
      <c r="D66" s="213" t="s">
        <v>5</v>
      </c>
      <c r="E66" s="214"/>
      <c r="F66" s="214"/>
      <c r="G66" s="214"/>
      <c r="H66" s="215"/>
      <c r="I66" s="213" t="s">
        <v>6</v>
      </c>
      <c r="J66" s="214"/>
      <c r="K66" s="214"/>
      <c r="L66" s="214"/>
      <c r="M66" s="215"/>
      <c r="N66" s="213" t="s">
        <v>7</v>
      </c>
      <c r="O66" s="214"/>
      <c r="P66" s="214"/>
      <c r="Q66" s="214"/>
      <c r="R66" s="215"/>
      <c r="S66" s="213" t="s">
        <v>8</v>
      </c>
      <c r="T66" s="214"/>
      <c r="U66" s="214"/>
      <c r="V66" s="214"/>
      <c r="W66" s="215"/>
      <c r="X66" s="9"/>
      <c r="Y66" s="9"/>
      <c r="Z66" s="9"/>
      <c r="AA66" s="9"/>
      <c r="AB66" s="9"/>
      <c r="AC66" s="9">
        <f ca="1">IF(DAY(MaySun1)=1,IF(AND(YEAR(MaySun1+19)=CalendarYear,MONTH(MaySun1+19)=5),MaySun1+19,""),IF(AND(YEAR(MaySun1+26)=CalendarYear,MONTH(MaySun1+26)=5),MaySun1+26,""))</f>
        <v>46163</v>
      </c>
      <c r="AD66" s="9">
        <f ca="1">IF(DAY(MaySun1)=1,IF(AND(YEAR(MaySun1+20)=CalendarYear,MONTH(MaySun1+20)=5),MaySun1+20,""),IF(AND(YEAR(MaySun1+27)=CalendarYear,MONTH(MaySun1+27)=5),MaySun1+27,""))</f>
        <v>46164</v>
      </c>
      <c r="AE66" s="9">
        <f ca="1">IF(DAY(MaySun1)=1,IF(AND(YEAR(MaySun1+21)=CalendarYear,MONTH(MaySun1+21)=5),MaySun1+21,""),IF(AND(YEAR(MaySun1+28)=CalendarYear,MONTH(MaySun1+28)=5),MaySun1+28,""))</f>
        <v>46165</v>
      </c>
      <c r="AF66" s="9">
        <f ca="1">IF(DAY(MaySun1)=1,IF(AND(YEAR(MaySun1+22)=CalendarYear,MONTH(MaySun1+22)=5),MaySun1+22,""),IF(AND(YEAR(MaySun1+29)=CalendarYear,MONTH(MaySun1+29)=5),MaySun1+29,""))</f>
        <v>46166</v>
      </c>
      <c r="AG66" s="9">
        <f ca="1">IF(DAY(MaySun1)=1,IF(AND(YEAR(MaySun1+23)=CalendarYear,MONTH(MaySun1+23)=5),MaySun1+23,""),IF(AND(YEAR(MaySun1+30)=CalendarYear,MONTH(MaySun1+30)=5),MaySun1+30,""))</f>
        <v>46167</v>
      </c>
      <c r="AH66" s="9">
        <f ca="1">IF(DAY(MaySun1)=1,IF(AND(YEAR(MaySun1+24)=CalendarYear,MONTH(MaySun1+24)=5),MaySun1+24,""),IF(AND(YEAR(MaySun1+31)=CalendarYear,MONTH(MaySun1+31)=5),MaySun1+31,""))</f>
        <v>46168</v>
      </c>
      <c r="AI66" s="9">
        <f ca="1">IF(DAY(MaySun1)=1,IF(AND(YEAR(MaySun1+25)=CalendarYear,MONTH(MaySun1+25)=5),MaySun1+25,""),IF(AND(YEAR(MaySun1+32)=CalendarYear,MONTH(MaySun1+32)=5),MaySun1+32,""))</f>
        <v>46169</v>
      </c>
      <c r="AJ66" s="9">
        <f ca="1">IF(DAY(MaySun1)=1,IF(AND(YEAR(MaySun1+26)=CalendarYear,MONTH(MaySun1+26)=5),MaySun1+26,""),IF(AND(YEAR(MaySun1+33)=CalendarYear,MONTH(MaySun1+33)=5),MaySun1+33,""))</f>
        <v>46170</v>
      </c>
      <c r="AK66" s="9">
        <f ca="1">IF(DAY(MaySun1)=1,IF(AND(YEAR(MaySun1+27)=CalendarYear,MONTH(MaySun1+27)=5),MaySun1+27,""),IF(AND(YEAR(MaySun1+34)=CalendarYear,MONTH(MaySun1+34)=5),MaySun1+34,""))</f>
        <v>46171</v>
      </c>
      <c r="AL66" s="9">
        <f ca="1">IF(DAY(MaySun1)=1,IF(AND(YEAR(MaySun1+28)=CalendarYear,MONTH(MaySun1+28)=5),MaySun1+28,""),IF(AND(YEAR(MaySun1+35)=CalendarYear,MONTH(MaySun1+35)=5),MaySun1+35,""))</f>
        <v>46172</v>
      </c>
      <c r="AM66" s="9">
        <f ca="1">IF(DAY(MaySun1)=1,IF(AND(YEAR(MaySun1+29)=CalendarYear,MONTH(MaySun1+29)=5),MaySun1+29,""),IF(AND(YEAR(MaySun1+36)=CalendarYear,MONTH(MaySun1+36)=5),MaySun1+36,""))</f>
        <v>46173</v>
      </c>
      <c r="AN66" s="11" t="str">
        <f ca="1">IF(DAY(MaySun1)=1,IF(AND(YEAR(MaySun1+30)=CalendarYear,MONTH(MaySun1+30)=5),MaySun1+30,""),IF(AND(YEAR(MaySun1+37)=CalendarYear,MONTH(MaySun1+37)=5),MaySun1+37,""))</f>
        <v/>
      </c>
    </row>
    <row r="67" spans="2:40" s="75" customFormat="1" ht="19.899999999999999" customHeight="1" x14ac:dyDescent="0.3">
      <c r="B67" s="212"/>
      <c r="C67" s="78"/>
      <c r="D67" s="225" t="s">
        <v>52</v>
      </c>
      <c r="E67" s="226"/>
      <c r="F67" s="226"/>
      <c r="G67" s="226"/>
      <c r="H67" s="227"/>
      <c r="I67" s="225" t="s">
        <v>53</v>
      </c>
      <c r="J67" s="226"/>
      <c r="K67" s="226"/>
      <c r="L67" s="226"/>
      <c r="M67" s="227"/>
      <c r="N67" s="225" t="s">
        <v>54</v>
      </c>
      <c r="O67" s="226"/>
      <c r="P67" s="226"/>
      <c r="Q67" s="226"/>
      <c r="R67" s="227"/>
      <c r="S67" s="225" t="s">
        <v>55</v>
      </c>
      <c r="T67" s="226"/>
      <c r="U67" s="226"/>
      <c r="V67" s="226"/>
      <c r="W67" s="227"/>
      <c r="X67" s="10"/>
      <c r="Y67" s="10"/>
      <c r="Z67" s="10"/>
      <c r="AA67" s="10"/>
      <c r="AB67" s="10"/>
      <c r="AC67" s="10" t="s">
        <v>16</v>
      </c>
      <c r="AD67" s="10" t="s">
        <v>13</v>
      </c>
      <c r="AE67" s="10" t="s">
        <v>14</v>
      </c>
      <c r="AF67" s="10" t="s">
        <v>15</v>
      </c>
      <c r="AG67" s="10" t="s">
        <v>9</v>
      </c>
      <c r="AH67" s="10" t="s">
        <v>10</v>
      </c>
      <c r="AI67" s="10" t="s">
        <v>11</v>
      </c>
      <c r="AJ67" s="10" t="s">
        <v>16</v>
      </c>
      <c r="AK67" s="10" t="s">
        <v>13</v>
      </c>
      <c r="AL67" s="10" t="s">
        <v>14</v>
      </c>
      <c r="AM67" s="10" t="s">
        <v>15</v>
      </c>
      <c r="AN67" s="12" t="s">
        <v>9</v>
      </c>
    </row>
    <row r="68" spans="2:40" ht="19.899999999999999" customHeight="1" x14ac:dyDescent="0.3">
      <c r="B68" s="83" t="s">
        <v>21</v>
      </c>
      <c r="C68" s="92"/>
      <c r="D68" s="193" t="s">
        <v>108</v>
      </c>
      <c r="E68" s="194"/>
      <c r="F68" s="194"/>
      <c r="G68" s="194"/>
      <c r="H68" s="195"/>
      <c r="I68" s="193" t="s">
        <v>140</v>
      </c>
      <c r="J68" s="194"/>
      <c r="K68" s="194"/>
      <c r="L68" s="194"/>
      <c r="M68" s="195"/>
      <c r="N68" s="193" t="s">
        <v>115</v>
      </c>
      <c r="O68" s="194"/>
      <c r="P68" s="194"/>
      <c r="Q68" s="194"/>
      <c r="R68" s="195"/>
      <c r="S68" s="193" t="s">
        <v>141</v>
      </c>
      <c r="T68" s="194"/>
      <c r="U68" s="194"/>
      <c r="V68" s="194"/>
      <c r="W68" s="195"/>
      <c r="X68" s="193"/>
      <c r="Y68" s="194"/>
      <c r="Z68" s="194"/>
      <c r="AA68" s="194"/>
      <c r="AB68" s="195"/>
      <c r="AC68" s="6" t="str">
        <f t="shared" ref="AC68:AN68" ca="1" si="14">IF(OR(NOT(ISNUMBER(AC66)),AC66&lt;Job1_StartDate),"",IF(MID(Job1_Pattern,MOD(AC66-Job1_StartDate,LEN(Job1_Pattern))+1,1)=Job1_Shift1_Code,1,IF(MID(Job1_Pattern,MOD(AC66-Job1_StartDate,LEN(Job1_Pattern))+1,1)=Job1_Shift2_Code,2,IF(MID(Job1_Pattern,MOD(AC66-Job1_StartDate,LEN(Job1_Pattern))+1,1)=Job1_Shift3_Code,3,""))))</f>
        <v/>
      </c>
      <c r="AD68" s="6" t="str">
        <f t="shared" ca="1" si="14"/>
        <v/>
      </c>
      <c r="AE68" s="6" t="str">
        <f t="shared" ca="1" si="14"/>
        <v/>
      </c>
      <c r="AF68" s="6">
        <f t="shared" ca="1" si="14"/>
        <v>1</v>
      </c>
      <c r="AG68" s="6" t="str">
        <f t="shared" ca="1" si="14"/>
        <v/>
      </c>
      <c r="AH68" s="6" t="str">
        <f t="shared" ca="1" si="14"/>
        <v/>
      </c>
      <c r="AI68" s="6" t="str">
        <f t="shared" ca="1" si="14"/>
        <v/>
      </c>
      <c r="AJ68" s="6">
        <f t="shared" ca="1" si="14"/>
        <v>1</v>
      </c>
      <c r="AK68" s="6" t="str">
        <f t="shared" ca="1" si="14"/>
        <v/>
      </c>
      <c r="AL68" s="6" t="str">
        <f t="shared" ca="1" si="14"/>
        <v/>
      </c>
      <c r="AM68" s="6" t="str">
        <f t="shared" ca="1" si="14"/>
        <v/>
      </c>
      <c r="AN68" s="6" t="str">
        <f t="shared" ca="1" si="14"/>
        <v/>
      </c>
    </row>
    <row r="69" spans="2:40" ht="19.899999999999999" customHeight="1" x14ac:dyDescent="0.3">
      <c r="B69" s="84" t="s">
        <v>25</v>
      </c>
      <c r="C69" s="91"/>
      <c r="D69" s="205" t="s">
        <v>142</v>
      </c>
      <c r="E69" s="206"/>
      <c r="F69" s="206"/>
      <c r="G69" s="206"/>
      <c r="H69" s="207"/>
      <c r="I69" s="205" t="s">
        <v>143</v>
      </c>
      <c r="J69" s="206"/>
      <c r="K69" s="206"/>
      <c r="L69" s="206"/>
      <c r="M69" s="207"/>
      <c r="N69" s="205" t="s">
        <v>129</v>
      </c>
      <c r="O69" s="206"/>
      <c r="P69" s="206"/>
      <c r="Q69" s="206"/>
      <c r="R69" s="207"/>
      <c r="S69" s="205" t="s">
        <v>111</v>
      </c>
      <c r="T69" s="206"/>
      <c r="U69" s="206"/>
      <c r="V69" s="206"/>
      <c r="W69" s="207"/>
      <c r="X69" s="193"/>
      <c r="Y69" s="194"/>
      <c r="Z69" s="194"/>
      <c r="AA69" s="194"/>
      <c r="AB69" s="195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</row>
    <row r="70" spans="2:40" ht="19.899999999999999" customHeight="1" x14ac:dyDescent="0.3">
      <c r="B70" s="84" t="s">
        <v>27</v>
      </c>
      <c r="C70" s="91"/>
      <c r="D70" s="205" t="s">
        <v>117</v>
      </c>
      <c r="E70" s="206"/>
      <c r="F70" s="206"/>
      <c r="G70" s="206"/>
      <c r="H70" s="207"/>
      <c r="I70" s="205" t="s">
        <v>144</v>
      </c>
      <c r="J70" s="206"/>
      <c r="K70" s="206"/>
      <c r="L70" s="206"/>
      <c r="M70" s="207"/>
      <c r="N70" s="205" t="s">
        <v>109</v>
      </c>
      <c r="O70" s="206"/>
      <c r="P70" s="206"/>
      <c r="Q70" s="206"/>
      <c r="R70" s="207"/>
      <c r="S70" s="193" t="s">
        <v>145</v>
      </c>
      <c r="T70" s="194"/>
      <c r="U70" s="194"/>
      <c r="V70" s="194"/>
      <c r="W70" s="195"/>
      <c r="X70" s="193"/>
      <c r="Y70" s="194"/>
      <c r="Z70" s="194"/>
      <c r="AA70" s="194"/>
      <c r="AB70" s="195"/>
      <c r="AC70" s="6"/>
      <c r="AD70" s="283" t="s">
        <v>146</v>
      </c>
      <c r="AE70" s="284"/>
      <c r="AF70" s="284"/>
      <c r="AG70" s="284"/>
      <c r="AH70" s="284"/>
      <c r="AI70" s="285"/>
      <c r="AJ70" s="6"/>
      <c r="AK70" s="6"/>
      <c r="AL70" s="6"/>
      <c r="AM70" s="6"/>
      <c r="AN70" s="6"/>
    </row>
    <row r="71" spans="2:40" ht="19.899999999999999" customHeight="1" x14ac:dyDescent="0.3">
      <c r="B71" s="84" t="s">
        <v>135</v>
      </c>
      <c r="C71" s="91"/>
      <c r="D71" s="205" t="s">
        <v>147</v>
      </c>
      <c r="E71" s="206"/>
      <c r="F71" s="206"/>
      <c r="G71" s="206"/>
      <c r="H71" s="207"/>
      <c r="I71" s="219" t="s">
        <v>148</v>
      </c>
      <c r="J71" s="220"/>
      <c r="K71" s="220"/>
      <c r="L71" s="220"/>
      <c r="M71" s="221"/>
      <c r="N71" s="205" t="s">
        <v>125</v>
      </c>
      <c r="O71" s="206"/>
      <c r="P71" s="206"/>
      <c r="Q71" s="206"/>
      <c r="R71" s="207"/>
      <c r="S71" s="219" t="s">
        <v>121</v>
      </c>
      <c r="T71" s="220"/>
      <c r="U71" s="220"/>
      <c r="V71" s="220"/>
      <c r="W71" s="221"/>
      <c r="X71" s="208"/>
      <c r="Y71" s="209"/>
      <c r="Z71" s="209"/>
      <c r="AA71" s="209"/>
      <c r="AB71" s="21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</row>
    <row r="72" spans="2:40" ht="19.899999999999999" customHeight="1" x14ac:dyDescent="0.3">
      <c r="B72" s="84" t="s">
        <v>136</v>
      </c>
      <c r="C72" s="91"/>
      <c r="D72" s="222" t="s">
        <v>130</v>
      </c>
      <c r="E72" s="223"/>
      <c r="F72" s="223"/>
      <c r="G72" s="223"/>
      <c r="H72" s="224"/>
      <c r="I72" s="205" t="s">
        <v>120</v>
      </c>
      <c r="J72" s="206"/>
      <c r="K72" s="206"/>
      <c r="L72" s="206"/>
      <c r="M72" s="207"/>
      <c r="N72" s="205" t="s">
        <v>107</v>
      </c>
      <c r="O72" s="206"/>
      <c r="P72" s="206"/>
      <c r="Q72" s="206"/>
      <c r="R72" s="207"/>
      <c r="S72" s="202" t="s">
        <v>127</v>
      </c>
      <c r="T72" s="203"/>
      <c r="U72" s="203"/>
      <c r="V72" s="203"/>
      <c r="W72" s="204"/>
      <c r="X72" s="153"/>
      <c r="Y72" s="154"/>
      <c r="Z72" s="154"/>
      <c r="AA72" s="154"/>
      <c r="AB72" s="155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</row>
    <row r="73" spans="2:40" ht="19.899999999999999" customHeight="1" x14ac:dyDescent="0.3">
      <c r="B73" s="163"/>
      <c r="C73" s="157"/>
      <c r="D73" s="205"/>
      <c r="E73" s="206"/>
      <c r="F73" s="206"/>
      <c r="G73" s="206"/>
      <c r="H73" s="207"/>
      <c r="I73" s="208"/>
      <c r="J73" s="209"/>
      <c r="K73" s="209"/>
      <c r="L73" s="209"/>
      <c r="M73" s="210"/>
      <c r="N73" s="193"/>
      <c r="O73" s="194"/>
      <c r="P73" s="194"/>
      <c r="Q73" s="194"/>
      <c r="R73" s="195"/>
      <c r="S73" s="193"/>
      <c r="T73" s="194"/>
      <c r="U73" s="194"/>
      <c r="V73" s="194"/>
      <c r="W73" s="195"/>
      <c r="X73" s="193"/>
      <c r="Y73" s="194"/>
      <c r="Z73" s="194"/>
      <c r="AA73" s="194"/>
      <c r="AB73" s="195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</row>
    <row r="74" spans="2:40" ht="19.899999999999999" customHeight="1" x14ac:dyDescent="0.3">
      <c r="B74" s="84" t="s">
        <v>31</v>
      </c>
      <c r="C74" s="15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</row>
    <row r="75" spans="2:40" ht="19.899999999999999" customHeight="1" x14ac:dyDescent="0.3">
      <c r="B75" s="85" t="s">
        <v>139</v>
      </c>
      <c r="C75" s="15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</row>
    <row r="76" spans="2:40" ht="19.899999999999999" customHeight="1" x14ac:dyDescent="0.3">
      <c r="B76" s="85" t="s">
        <v>29</v>
      </c>
      <c r="C76" s="15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2:40" ht="19.899999999999999" customHeight="1" x14ac:dyDescent="0.3">
      <c r="B77" s="72"/>
      <c r="C77" s="72"/>
      <c r="D77" s="7" t="str">
        <f t="shared" ref="D77:AN77" ca="1" si="15">IF(OR(NOT(ISNUMBER(D66)),D66&lt;Job2_StartDate),"",IF(MID(Job2_Pattern,MOD(D66-Job2_StartDate,LEN(Job2_Pattern))+1,1)=Job2_Shift1_Code,1,IF(MID(Job2_Pattern,MOD(D66-Job2_StartDate,LEN(Job2_Pattern))+1,1)=Job2_Shift2_Code,2,IF(MID(Job2_Pattern,MOD(D66-Job2_StartDate,LEN(Job2_Pattern))+1,1)=Job2_Shift3_Code,3,""))))</f>
        <v/>
      </c>
      <c r="E77" s="7" t="str">
        <f t="shared" ca="1" si="15"/>
        <v/>
      </c>
      <c r="F77" s="7" t="str">
        <f t="shared" ca="1" si="15"/>
        <v/>
      </c>
      <c r="G77" s="7" t="str">
        <f t="shared" ca="1" si="15"/>
        <v/>
      </c>
      <c r="H77" s="7" t="str">
        <f t="shared" ca="1" si="15"/>
        <v/>
      </c>
      <c r="I77" s="7" t="str">
        <f t="shared" ca="1" si="15"/>
        <v/>
      </c>
      <c r="J77" s="7" t="str">
        <f t="shared" ca="1" si="15"/>
        <v/>
      </c>
      <c r="K77" s="7" t="str">
        <f t="shared" ca="1" si="15"/>
        <v/>
      </c>
      <c r="L77" s="7" t="str">
        <f t="shared" ca="1" si="15"/>
        <v/>
      </c>
      <c r="M77" s="7" t="str">
        <f t="shared" ca="1" si="15"/>
        <v/>
      </c>
      <c r="N77" s="7" t="str">
        <f t="shared" ca="1" si="15"/>
        <v/>
      </c>
      <c r="O77" s="7" t="str">
        <f t="shared" ca="1" si="15"/>
        <v/>
      </c>
      <c r="P77" s="7" t="str">
        <f t="shared" ca="1" si="15"/>
        <v/>
      </c>
      <c r="Q77" s="7" t="str">
        <f t="shared" ca="1" si="15"/>
        <v/>
      </c>
      <c r="R77" s="7" t="str">
        <f t="shared" ca="1" si="15"/>
        <v/>
      </c>
      <c r="S77" s="7" t="str">
        <f t="shared" ca="1" si="15"/>
        <v/>
      </c>
      <c r="T77" s="7" t="str">
        <f t="shared" ca="1" si="15"/>
        <v/>
      </c>
      <c r="U77" s="7" t="str">
        <f t="shared" ca="1" si="15"/>
        <v/>
      </c>
      <c r="V77" s="7" t="str">
        <f t="shared" ca="1" si="15"/>
        <v/>
      </c>
      <c r="W77" s="7" t="str">
        <f t="shared" ca="1" si="15"/>
        <v/>
      </c>
      <c r="X77" s="7" t="str">
        <f t="shared" ca="1" si="15"/>
        <v/>
      </c>
      <c r="Y77" s="7" t="str">
        <f t="shared" ca="1" si="15"/>
        <v/>
      </c>
      <c r="Z77" s="7" t="str">
        <f t="shared" ca="1" si="15"/>
        <v/>
      </c>
      <c r="AA77" s="7" t="str">
        <f t="shared" ca="1" si="15"/>
        <v/>
      </c>
      <c r="AB77" s="7" t="str">
        <f t="shared" ca="1" si="15"/>
        <v/>
      </c>
      <c r="AC77" s="7" t="str">
        <f t="shared" ca="1" si="15"/>
        <v/>
      </c>
      <c r="AD77" s="7" t="str">
        <f t="shared" ca="1" si="15"/>
        <v/>
      </c>
      <c r="AE77" s="7">
        <f t="shared" ca="1" si="15"/>
        <v>2</v>
      </c>
      <c r="AF77" s="7" t="str">
        <f t="shared" ca="1" si="15"/>
        <v/>
      </c>
      <c r="AG77" s="7" t="str">
        <f t="shared" ca="1" si="15"/>
        <v/>
      </c>
      <c r="AH77" s="7" t="str">
        <f t="shared" ca="1" si="15"/>
        <v/>
      </c>
      <c r="AI77" s="7">
        <f t="shared" ca="1" si="15"/>
        <v>2</v>
      </c>
      <c r="AJ77" s="7" t="str">
        <f t="shared" ca="1" si="15"/>
        <v/>
      </c>
      <c r="AK77" s="7" t="str">
        <f t="shared" ca="1" si="15"/>
        <v/>
      </c>
      <c r="AL77" s="7" t="str">
        <f t="shared" ca="1" si="15"/>
        <v/>
      </c>
      <c r="AM77" s="7">
        <f t="shared" ca="1" si="15"/>
        <v>2</v>
      </c>
      <c r="AN77" s="7" t="str">
        <f t="shared" ca="1" si="15"/>
        <v/>
      </c>
    </row>
    <row r="78" spans="2:40" ht="19.899999999999999" customHeight="1" x14ac:dyDescent="0.3">
      <c r="B78" s="73"/>
      <c r="C78" s="73"/>
      <c r="D78" s="7" t="str">
        <f t="shared" ref="D78:AN78" ca="1" si="16">IF(OR(NOT(ISNUMBER(D66)),D66&lt;Job3_StartDate),"",IF(MID(Job3_Pattern,MOD(D66-Job3_StartDate,LEN(Job3_Pattern))+1,1)=Job3_Shift1_Code,1,IF(MID(Job3_Pattern,MOD(D66-Job3_StartDate,LEN(Job3_Pattern))+1,1)=Job3_Shift2_Code,2,IF(MID(Job3_Pattern,MOD(D66-Job3_StartDate,LEN(Job3_Pattern))+1,1)=Job3_Shift3_Code,3,""))))</f>
        <v/>
      </c>
      <c r="E78" s="7" t="str">
        <f t="shared" ca="1" si="16"/>
        <v/>
      </c>
      <c r="F78" s="7" t="str">
        <f t="shared" ca="1" si="16"/>
        <v/>
      </c>
      <c r="G78" s="7" t="str">
        <f t="shared" ca="1" si="16"/>
        <v/>
      </c>
      <c r="H78" s="7" t="str">
        <f t="shared" ca="1" si="16"/>
        <v/>
      </c>
      <c r="I78" s="7" t="str">
        <f t="shared" ca="1" si="16"/>
        <v/>
      </c>
      <c r="J78" s="7" t="str">
        <f t="shared" ca="1" si="16"/>
        <v/>
      </c>
      <c r="K78" s="7" t="str">
        <f t="shared" ca="1" si="16"/>
        <v/>
      </c>
      <c r="L78" s="7" t="str">
        <f t="shared" ca="1" si="16"/>
        <v/>
      </c>
      <c r="M78" s="7" t="str">
        <f t="shared" ca="1" si="16"/>
        <v/>
      </c>
      <c r="N78" s="7" t="str">
        <f t="shared" ca="1" si="16"/>
        <v/>
      </c>
      <c r="O78" s="7" t="str">
        <f t="shared" ca="1" si="16"/>
        <v/>
      </c>
      <c r="P78" s="7" t="str">
        <f t="shared" ca="1" si="16"/>
        <v/>
      </c>
      <c r="Q78" s="7" t="str">
        <f t="shared" ca="1" si="16"/>
        <v/>
      </c>
      <c r="R78" s="7" t="str">
        <f t="shared" ca="1" si="16"/>
        <v/>
      </c>
      <c r="S78" s="7" t="str">
        <f t="shared" ca="1" si="16"/>
        <v/>
      </c>
      <c r="T78" s="7" t="str">
        <f t="shared" ca="1" si="16"/>
        <v/>
      </c>
      <c r="U78" s="7" t="str">
        <f t="shared" ca="1" si="16"/>
        <v/>
      </c>
      <c r="V78" s="7" t="str">
        <f t="shared" ca="1" si="16"/>
        <v/>
      </c>
      <c r="W78" s="7" t="str">
        <f t="shared" ca="1" si="16"/>
        <v/>
      </c>
      <c r="X78" s="7" t="str">
        <f t="shared" ca="1" si="16"/>
        <v/>
      </c>
      <c r="Y78" s="7" t="str">
        <f t="shared" ca="1" si="16"/>
        <v/>
      </c>
      <c r="Z78" s="7" t="str">
        <f t="shared" ca="1" si="16"/>
        <v/>
      </c>
      <c r="AA78" s="7" t="str">
        <f t="shared" ca="1" si="16"/>
        <v/>
      </c>
      <c r="AB78" s="7" t="str">
        <f t="shared" ca="1" si="16"/>
        <v/>
      </c>
      <c r="AC78" s="7" t="str">
        <f t="shared" ca="1" si="16"/>
        <v/>
      </c>
      <c r="AD78" s="7" t="str">
        <f t="shared" ca="1" si="16"/>
        <v/>
      </c>
      <c r="AE78" s="7" t="str">
        <f t="shared" ca="1" si="16"/>
        <v/>
      </c>
      <c r="AF78" s="7">
        <f t="shared" ca="1" si="16"/>
        <v>3</v>
      </c>
      <c r="AG78" s="7" t="str">
        <f t="shared" ca="1" si="16"/>
        <v/>
      </c>
      <c r="AH78" s="7" t="str">
        <f t="shared" ca="1" si="16"/>
        <v/>
      </c>
      <c r="AI78" s="7" t="str">
        <f t="shared" ca="1" si="16"/>
        <v/>
      </c>
      <c r="AJ78" s="7">
        <f t="shared" ca="1" si="16"/>
        <v>3</v>
      </c>
      <c r="AK78" s="7" t="str">
        <f t="shared" ca="1" si="16"/>
        <v/>
      </c>
      <c r="AL78" s="7" t="str">
        <f t="shared" ca="1" si="16"/>
        <v/>
      </c>
      <c r="AM78" s="7" t="str">
        <f t="shared" ca="1" si="16"/>
        <v/>
      </c>
      <c r="AN78" s="7" t="str">
        <f t="shared" ca="1" si="16"/>
        <v/>
      </c>
    </row>
    <row r="79" spans="2:40" ht="18.95" customHeight="1" thickBot="1" x14ac:dyDescent="0.35"/>
    <row r="80" spans="2:40" ht="18.95" customHeight="1" x14ac:dyDescent="0.3">
      <c r="B80" s="211">
        <v>46204</v>
      </c>
      <c r="C80" s="77"/>
      <c r="D80" s="213" t="s">
        <v>5</v>
      </c>
      <c r="E80" s="214"/>
      <c r="F80" s="214"/>
      <c r="G80" s="214"/>
      <c r="H80" s="215"/>
      <c r="I80" s="213" t="s">
        <v>6</v>
      </c>
      <c r="J80" s="214"/>
      <c r="K80" s="214"/>
      <c r="L80" s="214"/>
      <c r="M80" s="215"/>
      <c r="N80" s="213" t="s">
        <v>7</v>
      </c>
      <c r="O80" s="214"/>
      <c r="P80" s="214"/>
      <c r="Q80" s="214"/>
      <c r="R80" s="215"/>
      <c r="S80" s="213" t="s">
        <v>8</v>
      </c>
      <c r="T80" s="214"/>
      <c r="U80" s="214"/>
      <c r="V80" s="214"/>
      <c r="W80" s="215"/>
      <c r="X80" s="213" t="s">
        <v>39</v>
      </c>
      <c r="Y80" s="214"/>
      <c r="Z80" s="214"/>
      <c r="AA80" s="214"/>
      <c r="AB80" s="215"/>
    </row>
    <row r="81" spans="2:28" ht="18.95" customHeight="1" x14ac:dyDescent="0.3">
      <c r="B81" s="212"/>
      <c r="C81" s="78"/>
      <c r="D81" s="273" t="s">
        <v>67</v>
      </c>
      <c r="E81" s="217"/>
      <c r="F81" s="217"/>
      <c r="G81" s="217"/>
      <c r="H81" s="218"/>
      <c r="I81" s="273" t="s">
        <v>68</v>
      </c>
      <c r="J81" s="217"/>
      <c r="K81" s="217"/>
      <c r="L81" s="217"/>
      <c r="M81" s="218"/>
      <c r="N81" s="273" t="s">
        <v>69</v>
      </c>
      <c r="O81" s="217"/>
      <c r="P81" s="217"/>
      <c r="Q81" s="217"/>
      <c r="R81" s="218"/>
      <c r="S81" s="273" t="s">
        <v>70</v>
      </c>
      <c r="T81" s="217"/>
      <c r="U81" s="217"/>
      <c r="V81" s="217"/>
      <c r="W81" s="218"/>
      <c r="X81" s="273" t="s">
        <v>71</v>
      </c>
      <c r="Y81" s="217"/>
      <c r="Z81" s="217"/>
      <c r="AA81" s="217"/>
      <c r="AB81" s="218"/>
    </row>
    <row r="82" spans="2:28" ht="18.95" customHeight="1" x14ac:dyDescent="0.3">
      <c r="B82" s="83" t="s">
        <v>21</v>
      </c>
      <c r="C82" s="92"/>
      <c r="D82" s="193" t="s">
        <v>108</v>
      </c>
      <c r="E82" s="194"/>
      <c r="F82" s="194"/>
      <c r="G82" s="194"/>
      <c r="H82" s="195"/>
      <c r="I82" s="193" t="s">
        <v>120</v>
      </c>
      <c r="J82" s="194"/>
      <c r="K82" s="194"/>
      <c r="L82" s="194"/>
      <c r="M82" s="195"/>
      <c r="N82" s="193" t="s">
        <v>115</v>
      </c>
      <c r="O82" s="194"/>
      <c r="P82" s="194"/>
      <c r="Q82" s="194"/>
      <c r="R82" s="195"/>
      <c r="S82" s="193" t="s">
        <v>144</v>
      </c>
      <c r="T82" s="194"/>
      <c r="U82" s="194"/>
      <c r="V82" s="194"/>
      <c r="W82" s="195"/>
      <c r="X82" s="208" t="s">
        <v>148</v>
      </c>
      <c r="Y82" s="209"/>
      <c r="Z82" s="209"/>
      <c r="AA82" s="209"/>
      <c r="AB82" s="210"/>
    </row>
    <row r="83" spans="2:28" ht="18.95" hidden="1" customHeight="1" x14ac:dyDescent="0.3">
      <c r="B83" s="189" t="s">
        <v>25</v>
      </c>
      <c r="C83" s="190"/>
      <c r="D83" s="274"/>
      <c r="E83" s="275"/>
      <c r="F83" s="275"/>
      <c r="G83" s="275"/>
      <c r="H83" s="276"/>
      <c r="I83" s="274"/>
      <c r="J83" s="275"/>
      <c r="K83" s="275"/>
      <c r="L83" s="275"/>
      <c r="M83" s="276"/>
      <c r="N83" s="274"/>
      <c r="O83" s="275"/>
      <c r="P83" s="275"/>
      <c r="Q83" s="275"/>
      <c r="R83" s="276"/>
      <c r="S83" s="274"/>
      <c r="T83" s="275"/>
      <c r="U83" s="275"/>
      <c r="V83" s="275"/>
      <c r="W83" s="276"/>
      <c r="X83" s="193"/>
      <c r="Y83" s="194"/>
      <c r="Z83" s="194"/>
      <c r="AA83" s="194"/>
      <c r="AB83" s="195"/>
    </row>
    <row r="84" spans="2:28" ht="18.95" customHeight="1" x14ac:dyDescent="0.3">
      <c r="B84" s="84" t="s">
        <v>27</v>
      </c>
      <c r="C84" s="91"/>
      <c r="D84" s="205" t="s">
        <v>117</v>
      </c>
      <c r="E84" s="206"/>
      <c r="F84" s="206"/>
      <c r="G84" s="206"/>
      <c r="H84" s="207"/>
      <c r="I84" s="205" t="s">
        <v>142</v>
      </c>
      <c r="J84" s="206"/>
      <c r="K84" s="206"/>
      <c r="L84" s="206"/>
      <c r="M84" s="207"/>
      <c r="N84" s="205" t="s">
        <v>147</v>
      </c>
      <c r="O84" s="206"/>
      <c r="P84" s="206"/>
      <c r="Q84" s="206"/>
      <c r="R84" s="207"/>
      <c r="S84" s="193" t="s">
        <v>132</v>
      </c>
      <c r="T84" s="194"/>
      <c r="U84" s="194"/>
      <c r="V84" s="194"/>
      <c r="W84" s="195"/>
      <c r="X84" s="193" t="s">
        <v>140</v>
      </c>
      <c r="Y84" s="194"/>
      <c r="Z84" s="194"/>
      <c r="AA84" s="194"/>
      <c r="AB84" s="195"/>
    </row>
    <row r="85" spans="2:28" ht="18.95" customHeight="1" x14ac:dyDescent="0.3">
      <c r="B85" s="84" t="s">
        <v>135</v>
      </c>
      <c r="C85" s="91"/>
      <c r="D85" s="205" t="s">
        <v>112</v>
      </c>
      <c r="E85" s="206"/>
      <c r="F85" s="206"/>
      <c r="G85" s="206"/>
      <c r="H85" s="207"/>
      <c r="I85" s="205" t="s">
        <v>138</v>
      </c>
      <c r="J85" s="206"/>
      <c r="K85" s="206"/>
      <c r="L85" s="206"/>
      <c r="M85" s="207"/>
      <c r="N85" s="277" t="s">
        <v>127</v>
      </c>
      <c r="O85" s="278"/>
      <c r="P85" s="278"/>
      <c r="Q85" s="278"/>
      <c r="R85" s="279"/>
      <c r="S85" s="193" t="s">
        <v>113</v>
      </c>
      <c r="T85" s="194"/>
      <c r="U85" s="194"/>
      <c r="V85" s="194"/>
      <c r="W85" s="195"/>
      <c r="X85" s="193" t="s">
        <v>145</v>
      </c>
      <c r="Y85" s="194"/>
      <c r="Z85" s="194"/>
      <c r="AA85" s="194"/>
      <c r="AB85" s="195"/>
    </row>
    <row r="86" spans="2:28" ht="18.95" customHeight="1" x14ac:dyDescent="0.3">
      <c r="B86" s="84" t="s">
        <v>136</v>
      </c>
      <c r="C86" s="91" t="s">
        <v>149</v>
      </c>
      <c r="D86" s="280" t="s">
        <v>129</v>
      </c>
      <c r="E86" s="281"/>
      <c r="F86" s="281"/>
      <c r="G86" s="281"/>
      <c r="H86" s="282"/>
      <c r="I86" s="205" t="s">
        <v>119</v>
      </c>
      <c r="J86" s="206"/>
      <c r="K86" s="206"/>
      <c r="L86" s="206"/>
      <c r="M86" s="207"/>
      <c r="N86" s="193" t="s">
        <v>116</v>
      </c>
      <c r="O86" s="194"/>
      <c r="P86" s="194"/>
      <c r="Q86" s="194"/>
      <c r="R86" s="195"/>
      <c r="S86" s="202" t="s">
        <v>124</v>
      </c>
      <c r="T86" s="203"/>
      <c r="U86" s="203"/>
      <c r="V86" s="203"/>
      <c r="W86" s="204"/>
      <c r="X86" s="202" t="s">
        <v>104</v>
      </c>
      <c r="Y86" s="203"/>
      <c r="Z86" s="203"/>
      <c r="AA86" s="203"/>
      <c r="AB86" s="204"/>
    </row>
    <row r="87" spans="2:28" ht="18.95" customHeight="1" x14ac:dyDescent="0.3">
      <c r="B87" s="163"/>
      <c r="C87" s="157"/>
      <c r="D87" s="205"/>
      <c r="E87" s="206"/>
      <c r="F87" s="206"/>
      <c r="G87" s="206"/>
      <c r="H87" s="207"/>
      <c r="I87" s="208"/>
      <c r="J87" s="209"/>
      <c r="K87" s="209"/>
      <c r="L87" s="209"/>
      <c r="M87" s="210"/>
      <c r="N87" s="193"/>
      <c r="O87" s="194"/>
      <c r="P87" s="194"/>
      <c r="Q87" s="194"/>
      <c r="R87" s="195"/>
      <c r="S87" s="193"/>
      <c r="T87" s="194"/>
      <c r="U87" s="194"/>
      <c r="V87" s="194"/>
      <c r="W87" s="195"/>
      <c r="X87" s="193"/>
      <c r="Y87" s="194"/>
      <c r="Z87" s="194"/>
      <c r="AA87" s="194"/>
      <c r="AB87" s="195"/>
    </row>
    <row r="88" spans="2:28" ht="18.95" customHeight="1" thickBot="1" x14ac:dyDescent="0.35"/>
    <row r="89" spans="2:28" ht="18.95" customHeight="1" x14ac:dyDescent="0.3">
      <c r="B89" s="211">
        <v>46235</v>
      </c>
      <c r="C89" s="77"/>
      <c r="D89" s="213" t="s">
        <v>5</v>
      </c>
      <c r="E89" s="214"/>
      <c r="F89" s="214"/>
      <c r="G89" s="214"/>
      <c r="H89" s="215"/>
      <c r="I89" s="213" t="s">
        <v>6</v>
      </c>
      <c r="J89" s="214"/>
      <c r="K89" s="214"/>
      <c r="L89" s="214"/>
      <c r="M89" s="215"/>
      <c r="N89" s="213" t="s">
        <v>7</v>
      </c>
      <c r="O89" s="214"/>
      <c r="P89" s="214"/>
      <c r="Q89" s="214"/>
      <c r="R89" s="215"/>
      <c r="S89" s="213" t="s">
        <v>8</v>
      </c>
      <c r="T89" s="214"/>
      <c r="U89" s="214"/>
      <c r="V89" s="214"/>
      <c r="W89" s="215"/>
    </row>
    <row r="90" spans="2:28" ht="18.95" customHeight="1" x14ac:dyDescent="0.3">
      <c r="B90" s="212"/>
      <c r="C90" s="78"/>
      <c r="D90" s="216">
        <v>46237</v>
      </c>
      <c r="E90" s="217"/>
      <c r="F90" s="217"/>
      <c r="G90" s="217"/>
      <c r="H90" s="218"/>
      <c r="I90" s="216">
        <v>46244</v>
      </c>
      <c r="J90" s="217"/>
      <c r="K90" s="217"/>
      <c r="L90" s="217"/>
      <c r="M90" s="218"/>
      <c r="N90" s="216">
        <v>46251</v>
      </c>
      <c r="O90" s="217"/>
      <c r="P90" s="217"/>
      <c r="Q90" s="217"/>
      <c r="R90" s="218"/>
      <c r="S90" s="216">
        <v>46258</v>
      </c>
      <c r="T90" s="217"/>
      <c r="U90" s="217"/>
      <c r="V90" s="217"/>
      <c r="W90" s="218"/>
    </row>
    <row r="91" spans="2:28" ht="18.95" customHeight="1" x14ac:dyDescent="0.3">
      <c r="B91" s="83" t="s">
        <v>21</v>
      </c>
      <c r="C91" s="92"/>
      <c r="D91" s="193"/>
      <c r="E91" s="194"/>
      <c r="F91" s="194"/>
      <c r="G91" s="194"/>
      <c r="H91" s="195"/>
      <c r="I91" s="193"/>
      <c r="J91" s="194"/>
      <c r="K91" s="194"/>
      <c r="L91" s="194"/>
      <c r="M91" s="195"/>
      <c r="N91" s="193"/>
      <c r="O91" s="194"/>
      <c r="P91" s="194"/>
      <c r="Q91" s="194"/>
      <c r="R91" s="195"/>
      <c r="S91" s="193"/>
      <c r="T91" s="194"/>
      <c r="U91" s="194"/>
      <c r="V91" s="194"/>
      <c r="W91" s="195"/>
    </row>
    <row r="92" spans="2:28" ht="18.95" customHeight="1" x14ac:dyDescent="0.3">
      <c r="B92" s="84" t="s">
        <v>27</v>
      </c>
      <c r="C92" s="91"/>
      <c r="D92" s="193"/>
      <c r="E92" s="194"/>
      <c r="F92" s="194"/>
      <c r="G92" s="194"/>
      <c r="H92" s="195"/>
      <c r="I92" s="193"/>
      <c r="J92" s="194"/>
      <c r="K92" s="194"/>
      <c r="L92" s="194"/>
      <c r="M92" s="195"/>
      <c r="N92" s="193"/>
      <c r="O92" s="194"/>
      <c r="P92" s="194"/>
      <c r="Q92" s="194"/>
      <c r="R92" s="195"/>
      <c r="S92" s="193"/>
      <c r="T92" s="194"/>
      <c r="U92" s="194"/>
      <c r="V92" s="194"/>
      <c r="W92" s="195"/>
    </row>
    <row r="93" spans="2:28" ht="18.95" customHeight="1" x14ac:dyDescent="0.3">
      <c r="B93" s="84" t="s">
        <v>135</v>
      </c>
      <c r="C93" s="91"/>
      <c r="D93" s="193"/>
      <c r="E93" s="194"/>
      <c r="F93" s="194"/>
      <c r="G93" s="194"/>
      <c r="H93" s="195"/>
      <c r="I93" s="193"/>
      <c r="J93" s="194"/>
      <c r="K93" s="194"/>
      <c r="L93" s="194"/>
      <c r="M93" s="195"/>
      <c r="N93" s="196"/>
      <c r="O93" s="197"/>
      <c r="P93" s="197"/>
      <c r="Q93" s="197"/>
      <c r="R93" s="198"/>
      <c r="S93" s="193"/>
      <c r="T93" s="194"/>
      <c r="U93" s="194"/>
      <c r="V93" s="194"/>
      <c r="W93" s="195"/>
    </row>
    <row r="94" spans="2:28" ht="18.95" customHeight="1" x14ac:dyDescent="0.3">
      <c r="B94" s="84" t="s">
        <v>136</v>
      </c>
      <c r="C94" s="91" t="s">
        <v>149</v>
      </c>
      <c r="D94" s="199"/>
      <c r="E94" s="200"/>
      <c r="F94" s="200"/>
      <c r="G94" s="200"/>
      <c r="H94" s="201"/>
      <c r="I94" s="193"/>
      <c r="J94" s="194"/>
      <c r="K94" s="194"/>
      <c r="L94" s="194"/>
      <c r="M94" s="195"/>
      <c r="N94" s="193"/>
      <c r="O94" s="194"/>
      <c r="P94" s="194"/>
      <c r="Q94" s="194"/>
      <c r="R94" s="195"/>
      <c r="S94" s="202"/>
      <c r="T94" s="203"/>
      <c r="U94" s="203"/>
      <c r="V94" s="203"/>
      <c r="W94" s="204"/>
    </row>
    <row r="95" spans="2:28" ht="18.95" customHeight="1" x14ac:dyDescent="0.3">
      <c r="B95" s="163"/>
      <c r="C95" s="157"/>
      <c r="D95" s="205"/>
      <c r="E95" s="206"/>
      <c r="F95" s="206"/>
      <c r="G95" s="206"/>
      <c r="H95" s="207"/>
      <c r="I95" s="208"/>
      <c r="J95" s="209"/>
      <c r="K95" s="209"/>
      <c r="L95" s="209"/>
      <c r="M95" s="210"/>
      <c r="N95" s="193"/>
      <c r="O95" s="194"/>
      <c r="P95" s="194"/>
      <c r="Q95" s="194"/>
      <c r="R95" s="195"/>
      <c r="S95" s="193"/>
      <c r="T95" s="194"/>
      <c r="U95" s="194"/>
      <c r="V95" s="194"/>
      <c r="W95" s="195"/>
    </row>
  </sheetData>
  <mergeCells count="261">
    <mergeCell ref="AD70:AI70"/>
    <mergeCell ref="X80:AB80"/>
    <mergeCell ref="X81:AB81"/>
    <mergeCell ref="X82:AB82"/>
    <mergeCell ref="X83:AB83"/>
    <mergeCell ref="X84:AB84"/>
    <mergeCell ref="X85:AB85"/>
    <mergeCell ref="X86:AB86"/>
    <mergeCell ref="X87:AB87"/>
    <mergeCell ref="D85:H85"/>
    <mergeCell ref="I85:M85"/>
    <mergeCell ref="N85:R85"/>
    <mergeCell ref="S85:W85"/>
    <mergeCell ref="D86:H86"/>
    <mergeCell ref="I86:M86"/>
    <mergeCell ref="N86:R86"/>
    <mergeCell ref="S86:W86"/>
    <mergeCell ref="D87:H87"/>
    <mergeCell ref="I87:M87"/>
    <mergeCell ref="N87:R87"/>
    <mergeCell ref="S87:W87"/>
    <mergeCell ref="D82:H82"/>
    <mergeCell ref="I82:M82"/>
    <mergeCell ref="N82:R82"/>
    <mergeCell ref="S82:W82"/>
    <mergeCell ref="D83:H83"/>
    <mergeCell ref="I83:M83"/>
    <mergeCell ref="N83:R83"/>
    <mergeCell ref="S83:W83"/>
    <mergeCell ref="D84:H84"/>
    <mergeCell ref="I84:M84"/>
    <mergeCell ref="N84:R84"/>
    <mergeCell ref="S84:W84"/>
    <mergeCell ref="B80:B81"/>
    <mergeCell ref="D80:H80"/>
    <mergeCell ref="I80:M80"/>
    <mergeCell ref="N80:R80"/>
    <mergeCell ref="S80:W80"/>
    <mergeCell ref="D81:H81"/>
    <mergeCell ref="I81:M81"/>
    <mergeCell ref="N81:R81"/>
    <mergeCell ref="S81:W81"/>
    <mergeCell ref="I57:M57"/>
    <mergeCell ref="N57:R57"/>
    <mergeCell ref="N54:R54"/>
    <mergeCell ref="S54:W54"/>
    <mergeCell ref="X57:AB57"/>
    <mergeCell ref="D59:H59"/>
    <mergeCell ref="I59:M59"/>
    <mergeCell ref="N59:R59"/>
    <mergeCell ref="S59:W59"/>
    <mergeCell ref="X59:AB59"/>
    <mergeCell ref="X54:AB54"/>
    <mergeCell ref="D55:H55"/>
    <mergeCell ref="I55:M55"/>
    <mergeCell ref="N55:R55"/>
    <mergeCell ref="S55:W55"/>
    <mergeCell ref="X55:AB55"/>
    <mergeCell ref="D56:H56"/>
    <mergeCell ref="I56:M56"/>
    <mergeCell ref="N56:R56"/>
    <mergeCell ref="S56:W56"/>
    <mergeCell ref="X56:AB56"/>
    <mergeCell ref="D58:H58"/>
    <mergeCell ref="I58:M58"/>
    <mergeCell ref="N58:R58"/>
    <mergeCell ref="S58:W58"/>
    <mergeCell ref="D57:H57"/>
    <mergeCell ref="S57:W57"/>
    <mergeCell ref="X45:AB45"/>
    <mergeCell ref="D47:H47"/>
    <mergeCell ref="I47:M47"/>
    <mergeCell ref="N47:R47"/>
    <mergeCell ref="S47:W47"/>
    <mergeCell ref="D45:H45"/>
    <mergeCell ref="I45:M45"/>
    <mergeCell ref="N45:R45"/>
    <mergeCell ref="S45:W45"/>
    <mergeCell ref="D46:H46"/>
    <mergeCell ref="I46:M46"/>
    <mergeCell ref="N46:R46"/>
    <mergeCell ref="S46:W46"/>
    <mergeCell ref="D52:H52"/>
    <mergeCell ref="I52:M52"/>
    <mergeCell ref="N52:R52"/>
    <mergeCell ref="S52:W52"/>
    <mergeCell ref="D53:H53"/>
    <mergeCell ref="I53:M53"/>
    <mergeCell ref="N53:R53"/>
    <mergeCell ref="S53:W53"/>
    <mergeCell ref="S41:W41"/>
    <mergeCell ref="D42:H42"/>
    <mergeCell ref="I42:M42"/>
    <mergeCell ref="N42:R42"/>
    <mergeCell ref="S42:W42"/>
    <mergeCell ref="D34:H34"/>
    <mergeCell ref="D54:H54"/>
    <mergeCell ref="I54:M54"/>
    <mergeCell ref="X39:AB39"/>
    <mergeCell ref="X41:AB41"/>
    <mergeCell ref="X42:AB42"/>
    <mergeCell ref="D39:H39"/>
    <mergeCell ref="I39:M39"/>
    <mergeCell ref="N39:R39"/>
    <mergeCell ref="S39:W39"/>
    <mergeCell ref="X43:AB43"/>
    <mergeCell ref="X44:AB44"/>
    <mergeCell ref="D43:H43"/>
    <mergeCell ref="I43:M43"/>
    <mergeCell ref="N43:R43"/>
    <mergeCell ref="S43:W43"/>
    <mergeCell ref="D44:H44"/>
    <mergeCell ref="I44:M44"/>
    <mergeCell ref="I29:M29"/>
    <mergeCell ref="N29:R29"/>
    <mergeCell ref="S29:W29"/>
    <mergeCell ref="D30:H30"/>
    <mergeCell ref="I30:M30"/>
    <mergeCell ref="N30:R30"/>
    <mergeCell ref="S30:W30"/>
    <mergeCell ref="D31:H31"/>
    <mergeCell ref="I31:M31"/>
    <mergeCell ref="N31:R31"/>
    <mergeCell ref="S31:W31"/>
    <mergeCell ref="B52:B53"/>
    <mergeCell ref="B66:B67"/>
    <mergeCell ref="B6:B7"/>
    <mergeCell ref="B16:B17"/>
    <mergeCell ref="B26:B27"/>
    <mergeCell ref="B39:B40"/>
    <mergeCell ref="I34:M34"/>
    <mergeCell ref="N34:R34"/>
    <mergeCell ref="S34:W34"/>
    <mergeCell ref="D32:H32"/>
    <mergeCell ref="I32:M32"/>
    <mergeCell ref="N32:R32"/>
    <mergeCell ref="S32:W32"/>
    <mergeCell ref="D33:H33"/>
    <mergeCell ref="I33:M33"/>
    <mergeCell ref="N33:R33"/>
    <mergeCell ref="S33:W33"/>
    <mergeCell ref="C39:C40"/>
    <mergeCell ref="D41:H41"/>
    <mergeCell ref="I41:M41"/>
    <mergeCell ref="N41:R41"/>
    <mergeCell ref="N44:R44"/>
    <mergeCell ref="S44:W44"/>
    <mergeCell ref="D29:H29"/>
    <mergeCell ref="AI2:AN2"/>
    <mergeCell ref="D6:H6"/>
    <mergeCell ref="D8:H8"/>
    <mergeCell ref="D9:H9"/>
    <mergeCell ref="D10:H10"/>
    <mergeCell ref="D11:H11"/>
    <mergeCell ref="D16:H16"/>
    <mergeCell ref="I16:M16"/>
    <mergeCell ref="N16:R16"/>
    <mergeCell ref="S16:W16"/>
    <mergeCell ref="D28:H28"/>
    <mergeCell ref="D19:H19"/>
    <mergeCell ref="D20:H20"/>
    <mergeCell ref="D21:H21"/>
    <mergeCell ref="D22:H22"/>
    <mergeCell ref="D23:H23"/>
    <mergeCell ref="S20:W20"/>
    <mergeCell ref="I21:M21"/>
    <mergeCell ref="N21:R21"/>
    <mergeCell ref="S21:W21"/>
    <mergeCell ref="I22:M22"/>
    <mergeCell ref="N22:R22"/>
    <mergeCell ref="S22:W22"/>
    <mergeCell ref="I28:M28"/>
    <mergeCell ref="N28:R28"/>
    <mergeCell ref="S28:W28"/>
    <mergeCell ref="D26:H26"/>
    <mergeCell ref="I26:M26"/>
    <mergeCell ref="N26:R26"/>
    <mergeCell ref="S26:W26"/>
    <mergeCell ref="C16:C17"/>
    <mergeCell ref="I23:M23"/>
    <mergeCell ref="N23:R23"/>
    <mergeCell ref="S23:W23"/>
    <mergeCell ref="I24:M24"/>
    <mergeCell ref="N24:R24"/>
    <mergeCell ref="S24:W24"/>
    <mergeCell ref="D24:H24"/>
    <mergeCell ref="I18:M18"/>
    <mergeCell ref="N18:R18"/>
    <mergeCell ref="S18:W18"/>
    <mergeCell ref="I19:M19"/>
    <mergeCell ref="N19:R19"/>
    <mergeCell ref="S19:W19"/>
    <mergeCell ref="I20:M20"/>
    <mergeCell ref="N20:R20"/>
    <mergeCell ref="D18:H18"/>
    <mergeCell ref="D66:H66"/>
    <mergeCell ref="I66:M66"/>
    <mergeCell ref="N66:R66"/>
    <mergeCell ref="S66:W66"/>
    <mergeCell ref="D67:H67"/>
    <mergeCell ref="I67:M67"/>
    <mergeCell ref="N67:R67"/>
    <mergeCell ref="S67:W67"/>
    <mergeCell ref="D68:H68"/>
    <mergeCell ref="I68:M68"/>
    <mergeCell ref="N68:R68"/>
    <mergeCell ref="S68:W68"/>
    <mergeCell ref="X68:AB68"/>
    <mergeCell ref="D69:H69"/>
    <mergeCell ref="I69:M69"/>
    <mergeCell ref="N69:R69"/>
    <mergeCell ref="S69:W69"/>
    <mergeCell ref="X69:AB69"/>
    <mergeCell ref="D70:H70"/>
    <mergeCell ref="I70:M70"/>
    <mergeCell ref="N70:R70"/>
    <mergeCell ref="S70:W70"/>
    <mergeCell ref="X70:AB70"/>
    <mergeCell ref="D73:H73"/>
    <mergeCell ref="I73:M73"/>
    <mergeCell ref="N73:R73"/>
    <mergeCell ref="S73:W73"/>
    <mergeCell ref="X73:AB73"/>
    <mergeCell ref="D71:H71"/>
    <mergeCell ref="I71:M71"/>
    <mergeCell ref="N71:R71"/>
    <mergeCell ref="S71:W71"/>
    <mergeCell ref="X71:AB71"/>
    <mergeCell ref="D72:H72"/>
    <mergeCell ref="I72:M72"/>
    <mergeCell ref="N72:R72"/>
    <mergeCell ref="S72:W72"/>
    <mergeCell ref="D91:H91"/>
    <mergeCell ref="I91:M91"/>
    <mergeCell ref="N91:R91"/>
    <mergeCell ref="S91:W91"/>
    <mergeCell ref="D92:H92"/>
    <mergeCell ref="I92:M92"/>
    <mergeCell ref="N92:R92"/>
    <mergeCell ref="S92:W92"/>
    <mergeCell ref="B89:B90"/>
    <mergeCell ref="D89:H89"/>
    <mergeCell ref="I89:M89"/>
    <mergeCell ref="N89:R89"/>
    <mergeCell ref="S89:W89"/>
    <mergeCell ref="D90:H90"/>
    <mergeCell ref="I90:M90"/>
    <mergeCell ref="N90:R90"/>
    <mergeCell ref="S90:W90"/>
    <mergeCell ref="D93:H93"/>
    <mergeCell ref="I93:M93"/>
    <mergeCell ref="N93:R93"/>
    <mergeCell ref="S93:W93"/>
    <mergeCell ref="D94:H94"/>
    <mergeCell ref="I94:M94"/>
    <mergeCell ref="N94:R94"/>
    <mergeCell ref="S94:W94"/>
    <mergeCell ref="D95:H95"/>
    <mergeCell ref="I95:M95"/>
    <mergeCell ref="N95:R95"/>
    <mergeCell ref="S95:W95"/>
  </mergeCells>
  <conditionalFormatting sqref="D54:W58 D91:W94">
    <cfRule type="containsText" dxfId="62" priority="23" operator="containsText" text="MT">
      <formula>NOT(ISERROR(SEARCH("MT",D54)))</formula>
    </cfRule>
  </conditionalFormatting>
  <conditionalFormatting sqref="D54:W59">
    <cfRule type="containsText" dxfId="61" priority="21" operator="containsText" text="CB">
      <formula>NOT(ISERROR(SEARCH("CB",D54)))</formula>
    </cfRule>
    <cfRule type="containsText" dxfId="60" priority="22" operator="containsText" text="CH">
      <formula>NOT(ISERROR(SEARCH("CH",D54)))</formula>
    </cfRule>
    <cfRule type="containsText" dxfId="59" priority="24" operator="containsText" text="PL">
      <formula>NOT(ISERROR(SEARCH("PL",D54)))</formula>
    </cfRule>
    <cfRule type="duplicateValues" dxfId="58" priority="25"/>
  </conditionalFormatting>
  <conditionalFormatting sqref="D68:W72">
    <cfRule type="containsText" dxfId="57" priority="18" operator="containsText" text="MT">
      <formula>NOT(ISERROR(SEARCH("MT",D68)))</formula>
    </cfRule>
  </conditionalFormatting>
  <conditionalFormatting sqref="D68:W73">
    <cfRule type="containsText" dxfId="56" priority="16" operator="containsText" text="CB">
      <formula>NOT(ISERROR(SEARCH("CB",D68)))</formula>
    </cfRule>
    <cfRule type="containsText" dxfId="55" priority="17" operator="containsText" text="CH">
      <formula>NOT(ISERROR(SEARCH("CH",D68)))</formula>
    </cfRule>
    <cfRule type="containsText" dxfId="54" priority="19" operator="containsText" text="PL">
      <formula>NOT(ISERROR(SEARCH("PL",D68)))</formula>
    </cfRule>
    <cfRule type="duplicateValues" dxfId="53" priority="20"/>
  </conditionalFormatting>
  <conditionalFormatting sqref="D82:W87">
    <cfRule type="duplicateValues" dxfId="52" priority="15"/>
  </conditionalFormatting>
  <conditionalFormatting sqref="D91:W95">
    <cfRule type="duplicateValues" dxfId="51" priority="51"/>
  </conditionalFormatting>
  <conditionalFormatting sqref="D82:AB86">
    <cfRule type="containsText" dxfId="50" priority="8" operator="containsText" text="MT">
      <formula>NOT(ISERROR(SEARCH("MT",D82)))</formula>
    </cfRule>
  </conditionalFormatting>
  <conditionalFormatting sqref="D82:AB87 D91:W95">
    <cfRule type="containsText" dxfId="49" priority="6" operator="containsText" text="CB">
      <formula>NOT(ISERROR(SEARCH("CB",D82)))</formula>
    </cfRule>
    <cfRule type="containsText" dxfId="48" priority="7" operator="containsText" text="CH">
      <formula>NOT(ISERROR(SEARCH("CH",D82)))</formula>
    </cfRule>
    <cfRule type="containsText" dxfId="47" priority="9" operator="containsText" text="PL">
      <formula>NOT(ISERROR(SEARCH("PL",D82)))</formula>
    </cfRule>
  </conditionalFormatting>
  <conditionalFormatting sqref="X82:AB87">
    <cfRule type="duplicateValues" dxfId="46" priority="10"/>
  </conditionalFormatting>
  <dataValidations count="3">
    <dataValidation allowBlank="1" showInputMessage="1" showErrorMessage="1" promptTitle="Shift Work Calendar" sqref="A2" xr:uid="{00000000-0002-0000-0000-000000000000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95067F80-731D-448B-AC12-B75E4D82DB10}"/>
    <dataValidation allowBlank="1" showInputMessage="1" showErrorMessage="1" prompt="Type the year in this cell." sqref="AI2:AN2" xr:uid="{D62D72C5-86F6-45D4-B90E-F7092325B2C2}"/>
  </dataValidations>
  <printOptions horizontalCentered="1" verticalCentered="1"/>
  <pageMargins left="0.3" right="0.3" top="0.3" bottom="0.3" header="0.3" footer="0.3"/>
  <pageSetup scale="44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67CEE8A-1D5F-4558-8269-8E0E76E0D6AA}">
          <x14:formula1>
            <xm:f>Sheet1!$B$13:$B$18</xm:f>
          </x14:formula1>
          <xm:sqref>D19:W19 D29:W29</xm:sqref>
        </x14:dataValidation>
        <x14:dataValidation type="list" allowBlank="1" showInputMessage="1" showErrorMessage="1" xr:uid="{33BD49F9-9B5C-4267-9DC8-C5755BD7AFF8}">
          <x14:formula1>
            <xm:f>Sheet1!$B$48:$B$53</xm:f>
          </x14:formula1>
          <xm:sqref>D22:W24 D46:W47 D32:W34</xm:sqref>
        </x14:dataValidation>
        <x14:dataValidation type="list" allowBlank="1" showInputMessage="1" showErrorMessage="1" xr:uid="{47287379-B73F-495C-8646-35DB23060910}">
          <x14:formula1>
            <xm:f>Sheet1!$B$39:$B$46</xm:f>
          </x14:formula1>
          <xm:sqref>D18:W18 D28:W28</xm:sqref>
        </x14:dataValidation>
        <x14:dataValidation type="list" allowBlank="1" showInputMessage="1" showErrorMessage="1" xr:uid="{139EE539-720A-4AAA-92A6-B38CC35B2170}">
          <x14:formula1>
            <xm:f>Sheet1!$B$20:$B$25</xm:f>
          </x14:formula1>
          <xm:sqref>D20:W20 I30:W30</xm:sqref>
        </x14:dataValidation>
        <x14:dataValidation type="list" allowBlank="1" showInputMessage="1" showErrorMessage="1" xr:uid="{73922FA6-1C7B-4C79-B399-558A7848057C}">
          <x14:formula1>
            <xm:f>Sheet1!$B$20:$B$36</xm:f>
          </x14:formula1>
          <xm:sqref>D30:H30</xm:sqref>
        </x14:dataValidation>
        <x14:dataValidation type="list" allowBlank="1" showInputMessage="1" showErrorMessage="1" xr:uid="{D7698F48-F5D7-4F68-9F56-3B0639111BA4}">
          <x14:formula1>
            <xm:f>Sheet1!$B$3:$B$11</xm:f>
          </x14:formula1>
          <xm:sqref>D21:W21 D31:W31</xm:sqref>
        </x14:dataValidation>
        <x14:dataValidation type="list" allowBlank="1" showInputMessage="1" showErrorMessage="1" xr:uid="{FC6BDBC4-E3B8-42E3-A5D0-92E62E65BAA2}">
          <x14:formula1>
            <xm:f>Sheet1!$G$3:$G$39</xm:f>
          </x14:formula1>
          <xm:sqref>D41:AB45 D82:AB87 D68:AB73 D54:AB59 D91:W95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C059-53AB-4A66-830D-4DF5C9F80104}">
  <sheetPr codeName="Sheet3"/>
  <dimension ref="A1:AO147"/>
  <sheetViews>
    <sheetView showGridLines="0" zoomScaleNormal="100" workbookViewId="0">
      <selection activeCell="Z16" sqref="Z16:AD16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6" width="3.77734375" style="3" customWidth="1"/>
    <col min="7" max="7" width="3.109375" style="3" customWidth="1"/>
    <col min="8" max="8" width="3.77734375" style="3" hidden="1" customWidth="1"/>
    <col min="9" max="38" width="3.77734375" style="3" customWidth="1"/>
    <col min="39" max="41" width="0" style="3" hidden="1" customWidth="1"/>
    <col min="42" max="16384" width="8.88671875" style="3" hidden="1"/>
  </cols>
  <sheetData>
    <row r="1" spans="2:37" ht="4.9000000000000004" customHeight="1" x14ac:dyDescent="0.3"/>
    <row r="2" spans="2:37" s="59" customFormat="1" ht="60" customHeight="1" x14ac:dyDescent="0.8">
      <c r="B2" s="62" t="s">
        <v>150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6"/>
      <c r="AF2" s="232">
        <f ca="1">IF(MONTH(TODAY())=12,YEAR(TODAY())+1,YEAR(TODAY()))</f>
        <v>2026</v>
      </c>
      <c r="AG2" s="232"/>
      <c r="AH2" s="232"/>
      <c r="AI2" s="232"/>
      <c r="AJ2" s="232"/>
      <c r="AK2" s="232"/>
    </row>
    <row r="3" spans="2:37" customFormat="1" ht="19.899999999999999" customHeight="1" x14ac:dyDescent="0.3">
      <c r="B3" s="70"/>
      <c r="C3" s="70"/>
    </row>
    <row r="4" spans="2:37" customFormat="1" ht="18.95" customHeight="1" x14ac:dyDescent="0.3">
      <c r="B4" s="70"/>
      <c r="C4" s="70"/>
      <c r="AA4" s="16"/>
      <c r="AB4" s="17"/>
      <c r="AC4" s="18"/>
      <c r="AD4" s="17"/>
      <c r="AE4" s="16"/>
      <c r="AF4" s="17"/>
      <c r="AG4" s="19"/>
      <c r="AH4" s="17"/>
      <c r="AI4" s="16"/>
      <c r="AJ4" s="3"/>
      <c r="AK4" s="8"/>
    </row>
    <row r="5" spans="2:37" customFormat="1" ht="19.899999999999999" customHeight="1" x14ac:dyDescent="0.3">
      <c r="B5" s="70"/>
      <c r="C5" s="70"/>
    </row>
    <row r="6" spans="2:37" s="75" customFormat="1" ht="19.899999999999999" hidden="1" customHeight="1" x14ac:dyDescent="0.3">
      <c r="B6" s="211">
        <f ca="1">DATE(CalendarYear,1,1)</f>
        <v>46023</v>
      </c>
      <c r="C6" s="82"/>
      <c r="D6" s="213" t="s">
        <v>5</v>
      </c>
      <c r="E6" s="214"/>
      <c r="F6" s="214"/>
      <c r="G6" s="214"/>
      <c r="H6" s="215"/>
      <c r="I6" s="213" t="s">
        <v>6</v>
      </c>
      <c r="J6" s="214"/>
      <c r="K6" s="214"/>
      <c r="L6" s="214"/>
      <c r="M6" s="213" t="s">
        <v>7</v>
      </c>
      <c r="N6" s="214"/>
      <c r="O6" s="214"/>
      <c r="P6" s="214"/>
      <c r="Q6" s="213" t="s">
        <v>8</v>
      </c>
      <c r="R6" s="214"/>
      <c r="S6" s="214"/>
      <c r="T6" s="214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9"/>
      <c r="AG6" s="9"/>
      <c r="AH6" s="9"/>
      <c r="AI6" s="9"/>
      <c r="AJ6" s="9"/>
      <c r="AK6" s="11"/>
    </row>
    <row r="7" spans="2:37" s="75" customFormat="1" ht="19.899999999999999" hidden="1" customHeight="1" x14ac:dyDescent="0.3">
      <c r="B7" s="239"/>
      <c r="C7" s="90"/>
      <c r="D7" s="87" t="s">
        <v>9</v>
      </c>
      <c r="E7" s="80" t="s">
        <v>10</v>
      </c>
      <c r="F7" s="80" t="s">
        <v>11</v>
      </c>
      <c r="G7" s="80" t="s">
        <v>12</v>
      </c>
      <c r="H7" s="88" t="s">
        <v>13</v>
      </c>
      <c r="I7" s="87" t="s">
        <v>9</v>
      </c>
      <c r="J7" s="80" t="s">
        <v>10</v>
      </c>
      <c r="K7" s="80" t="s">
        <v>11</v>
      </c>
      <c r="L7" s="80" t="s">
        <v>12</v>
      </c>
      <c r="M7" s="87" t="s">
        <v>9</v>
      </c>
      <c r="N7" s="80" t="s">
        <v>10</v>
      </c>
      <c r="O7" s="80" t="s">
        <v>11</v>
      </c>
      <c r="P7" s="80" t="s">
        <v>12</v>
      </c>
      <c r="Q7" s="87" t="s">
        <v>9</v>
      </c>
      <c r="R7" s="80" t="s">
        <v>10</v>
      </c>
      <c r="S7" s="80" t="s">
        <v>11</v>
      </c>
      <c r="T7" s="80" t="s">
        <v>12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79"/>
      <c r="AG7" s="10"/>
      <c r="AH7" s="10"/>
      <c r="AI7" s="10"/>
      <c r="AJ7" s="10"/>
      <c r="AK7" s="12"/>
    </row>
    <row r="8" spans="2:37" ht="19.899999999999999" hidden="1" customHeight="1" x14ac:dyDescent="0.3">
      <c r="B8" s="83" t="s">
        <v>21</v>
      </c>
      <c r="C8" s="92" t="s">
        <v>22</v>
      </c>
      <c r="D8" s="193" t="s">
        <v>74</v>
      </c>
      <c r="E8" s="194"/>
      <c r="F8" s="194"/>
      <c r="G8" s="194"/>
      <c r="H8" s="195"/>
      <c r="I8" s="193" t="s">
        <v>75</v>
      </c>
      <c r="J8" s="194"/>
      <c r="K8" s="194"/>
      <c r="L8" s="194"/>
      <c r="M8" s="193" t="s">
        <v>76</v>
      </c>
      <c r="N8" s="194"/>
      <c r="O8" s="194"/>
      <c r="P8" s="194"/>
      <c r="Q8" s="193" t="s">
        <v>77</v>
      </c>
      <c r="R8" s="194"/>
      <c r="S8" s="194"/>
      <c r="T8" s="194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2:37" ht="19.899999999999999" hidden="1" customHeight="1" x14ac:dyDescent="0.3">
      <c r="B9" s="84" t="s">
        <v>23</v>
      </c>
      <c r="C9" s="91" t="s">
        <v>24</v>
      </c>
      <c r="D9" s="193" t="s">
        <v>78</v>
      </c>
      <c r="E9" s="194"/>
      <c r="F9" s="194"/>
      <c r="G9" s="194"/>
      <c r="H9" s="195"/>
      <c r="I9" s="193" t="s">
        <v>79</v>
      </c>
      <c r="J9" s="194"/>
      <c r="K9" s="194"/>
      <c r="L9" s="194"/>
      <c r="M9" s="193" t="s">
        <v>80</v>
      </c>
      <c r="N9" s="194"/>
      <c r="O9" s="194"/>
      <c r="P9" s="194"/>
      <c r="Q9" s="193" t="s">
        <v>98</v>
      </c>
      <c r="R9" s="194"/>
      <c r="S9" s="194"/>
      <c r="T9" s="19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2:37" ht="19.899999999999999" hidden="1" customHeight="1" x14ac:dyDescent="0.3">
      <c r="B10" s="84" t="s">
        <v>25</v>
      </c>
      <c r="C10" s="91" t="s">
        <v>26</v>
      </c>
      <c r="D10" s="193" t="s">
        <v>83</v>
      </c>
      <c r="E10" s="194"/>
      <c r="F10" s="194"/>
      <c r="G10" s="194"/>
      <c r="H10" s="195"/>
      <c r="I10" s="193" t="s">
        <v>82</v>
      </c>
      <c r="J10" s="194"/>
      <c r="K10" s="194"/>
      <c r="L10" s="194"/>
      <c r="M10" s="193" t="s">
        <v>83</v>
      </c>
      <c r="N10" s="194"/>
      <c r="O10" s="194"/>
      <c r="P10" s="194"/>
      <c r="Q10" s="193" t="s">
        <v>82</v>
      </c>
      <c r="R10" s="194"/>
      <c r="S10" s="194"/>
      <c r="T10" s="194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2:37" ht="19.899999999999999" hidden="1" customHeight="1" x14ac:dyDescent="0.3">
      <c r="B11" s="84" t="s">
        <v>27</v>
      </c>
      <c r="C11" s="91" t="s">
        <v>28</v>
      </c>
      <c r="D11" s="193" t="s">
        <v>151</v>
      </c>
      <c r="E11" s="194"/>
      <c r="F11" s="194"/>
      <c r="G11" s="194"/>
      <c r="H11" s="195"/>
      <c r="I11" s="193" t="s">
        <v>85</v>
      </c>
      <c r="J11" s="194"/>
      <c r="K11" s="194"/>
      <c r="L11" s="194"/>
      <c r="M11" s="193" t="s">
        <v>152</v>
      </c>
      <c r="N11" s="194"/>
      <c r="O11" s="194"/>
      <c r="P11" s="194"/>
      <c r="Q11" s="193" t="s">
        <v>153</v>
      </c>
      <c r="R11" s="194"/>
      <c r="S11" s="194"/>
      <c r="T11" s="194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2:37" ht="19.899999999999999" hidden="1" customHeight="1" x14ac:dyDescent="0.3">
      <c r="B12" s="84" t="s">
        <v>29</v>
      </c>
      <c r="C12" s="91" t="s">
        <v>30</v>
      </c>
      <c r="D12" s="193" t="s">
        <v>88</v>
      </c>
      <c r="E12" s="194"/>
      <c r="F12" s="194"/>
      <c r="G12" s="194"/>
      <c r="H12" s="195"/>
      <c r="I12" s="193" t="s">
        <v>89</v>
      </c>
      <c r="J12" s="194"/>
      <c r="K12" s="194"/>
      <c r="L12" s="194"/>
      <c r="M12" s="193" t="s">
        <v>90</v>
      </c>
      <c r="N12" s="194"/>
      <c r="O12" s="194"/>
      <c r="P12" s="194"/>
      <c r="Q12" s="193" t="s">
        <v>91</v>
      </c>
      <c r="R12" s="194"/>
      <c r="S12" s="194"/>
      <c r="T12" s="19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2:37" ht="19.899999999999999" hidden="1" customHeight="1" x14ac:dyDescent="0.3">
      <c r="B13" s="84" t="s">
        <v>31</v>
      </c>
      <c r="C13" s="91" t="s">
        <v>30</v>
      </c>
      <c r="D13" s="193" t="s">
        <v>89</v>
      </c>
      <c r="E13" s="194"/>
      <c r="F13" s="194"/>
      <c r="G13" s="194"/>
      <c r="H13" s="195"/>
      <c r="I13" s="193" t="s">
        <v>90</v>
      </c>
      <c r="J13" s="194"/>
      <c r="K13" s="194"/>
      <c r="L13" s="194"/>
      <c r="M13" s="193" t="s">
        <v>91</v>
      </c>
      <c r="N13" s="194"/>
      <c r="O13" s="194"/>
      <c r="P13" s="194"/>
      <c r="Q13" s="193" t="s">
        <v>92</v>
      </c>
      <c r="R13" s="194"/>
      <c r="S13" s="194"/>
      <c r="T13" s="19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2:37" ht="19.899999999999999" hidden="1" customHeight="1" x14ac:dyDescent="0.3">
      <c r="B14" s="84"/>
      <c r="C14" s="91"/>
      <c r="D14" s="93"/>
      <c r="E14" s="94"/>
      <c r="F14" s="94"/>
      <c r="G14" s="94"/>
      <c r="H14" s="95"/>
      <c r="I14" s="93"/>
      <c r="J14" s="94"/>
      <c r="K14" s="94"/>
      <c r="L14" s="94"/>
      <c r="M14" s="93"/>
      <c r="N14" s="94"/>
      <c r="O14" s="94"/>
      <c r="P14" s="94"/>
      <c r="Q14" s="93"/>
      <c r="R14" s="94"/>
      <c r="S14" s="94"/>
      <c r="T14" s="94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2:37" ht="19.899999999999999" hidden="1" customHeight="1" x14ac:dyDescent="0.3">
      <c r="B15" s="85" t="s">
        <v>32</v>
      </c>
      <c r="C15" s="91" t="s">
        <v>30</v>
      </c>
      <c r="D15" s="193" t="s">
        <v>91</v>
      </c>
      <c r="E15" s="194"/>
      <c r="F15" s="194"/>
      <c r="G15" s="194"/>
      <c r="H15" s="195"/>
      <c r="I15" s="193" t="s">
        <v>93</v>
      </c>
      <c r="J15" s="194"/>
      <c r="K15" s="194"/>
      <c r="L15" s="194"/>
      <c r="M15" s="193" t="s">
        <v>92</v>
      </c>
      <c r="N15" s="194"/>
      <c r="O15" s="194"/>
      <c r="P15" s="194"/>
      <c r="Q15" s="193" t="s">
        <v>90</v>
      </c>
      <c r="R15" s="194"/>
      <c r="S15" s="194"/>
      <c r="T15" s="194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2:37" ht="19.899999999999999" customHeight="1" x14ac:dyDescent="0.3">
      <c r="B16" s="110"/>
      <c r="C16" s="1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09"/>
      <c r="V16" s="109"/>
      <c r="W16" s="109"/>
      <c r="X16" s="109"/>
      <c r="Y16" s="109"/>
      <c r="Z16" s="305" t="s">
        <v>154</v>
      </c>
      <c r="AA16" s="305"/>
      <c r="AB16" s="305"/>
      <c r="AC16" s="305"/>
      <c r="AD16" s="305"/>
      <c r="AE16" s="109"/>
      <c r="AF16" s="109"/>
      <c r="AG16" s="109"/>
      <c r="AH16" s="109"/>
      <c r="AI16" s="109"/>
      <c r="AJ16" s="109"/>
      <c r="AK16" s="109"/>
    </row>
    <row r="17" spans="2:37" ht="19.899999999999999" customHeight="1" thickBot="1" x14ac:dyDescent="0.35">
      <c r="B17" s="316" t="s">
        <v>155</v>
      </c>
      <c r="C17" s="316"/>
      <c r="D17" s="316"/>
      <c r="E17" s="316"/>
      <c r="F17" s="316"/>
      <c r="G17" s="316"/>
      <c r="H17" s="316"/>
      <c r="I17" s="316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16"/>
      <c r="AA17" s="316"/>
      <c r="AB17" s="316"/>
      <c r="AC17" s="316"/>
      <c r="AD17" s="316"/>
      <c r="AE17" s="316"/>
      <c r="AF17" s="316"/>
      <c r="AG17" s="316"/>
      <c r="AH17" s="316"/>
      <c r="AI17" s="316"/>
      <c r="AJ17" s="316"/>
      <c r="AK17" s="316"/>
    </row>
    <row r="18" spans="2:37" s="76" customFormat="1" ht="19.899999999999999" customHeight="1" x14ac:dyDescent="0.3">
      <c r="B18" s="240">
        <f ca="1">DATE(CalendarYear,2,1)</f>
        <v>46054</v>
      </c>
      <c r="C18" s="309" t="s">
        <v>17</v>
      </c>
      <c r="D18" s="213" t="s">
        <v>5</v>
      </c>
      <c r="E18" s="214"/>
      <c r="F18" s="214"/>
      <c r="G18" s="214"/>
      <c r="H18" s="215"/>
      <c r="I18" s="213" t="s">
        <v>6</v>
      </c>
      <c r="J18" s="214"/>
      <c r="K18" s="214"/>
      <c r="L18" s="215"/>
      <c r="M18" s="213" t="s">
        <v>7</v>
      </c>
      <c r="N18" s="214"/>
      <c r="O18" s="214"/>
      <c r="P18" s="215"/>
      <c r="Q18" s="213" t="s">
        <v>8</v>
      </c>
      <c r="R18" s="214"/>
      <c r="S18" s="214"/>
      <c r="T18" s="215"/>
      <c r="U18" s="89"/>
      <c r="V18" s="9"/>
      <c r="W18" s="9"/>
      <c r="X18" s="9"/>
      <c r="Y18" s="9"/>
      <c r="Z18" s="9"/>
      <c r="AA18" s="9"/>
      <c r="AB18" s="9"/>
      <c r="AC18" s="9" t="str">
        <f ca="1">IF(DAY(FebSun1)=1,IF(AND(YEAR(FebSun1+22)=CalendarYear,MONTH(FebSun1+22)=2),FebSun1+22,""),IF(AND(YEAR(FebSun1+29)=CalendarYear,MONTH(FebSun1+29)=2),FebSun1+29,""))</f>
        <v/>
      </c>
      <c r="AD18" s="9" t="str">
        <f ca="1">IF(DAY(FebSun1)=1,IF(AND(YEAR(FebSun1+23)=CalendarYear,MONTH(FebSun1+23)=2),FebSun1+23,""),IF(AND(YEAR(FebSun1+30)=CalendarYear,MONTH(FebSun1+30)=2),FebSun1+30,""))</f>
        <v/>
      </c>
      <c r="AE18" s="9" t="str">
        <f ca="1">IF(DAY(FebSun1)=1,IF(AND(YEAR(FebSun1+24)=CalendarYear,MONTH(FebSun1+24)=2),FebSun1+24,""),IF(AND(YEAR(FebSun1+31)=CalendarYear,MONTH(FebSun1+31)=2),FebSun1+31,""))</f>
        <v/>
      </c>
      <c r="AF18" s="9" t="str">
        <f ca="1">IF(DAY(FebSun1)=1,IF(AND(YEAR(FebSun1+25)=CalendarYear,MONTH(FebSun1+25)=2),FebSun1+25,""),IF(AND(YEAR(FebSun1+32)=CalendarYear,MONTH(FebSun1+32)=2),FebSun1+32,""))</f>
        <v/>
      </c>
      <c r="AG18" s="9" t="str">
        <f ca="1">IF(DAY(FebSun1)=1,IF(AND(YEAR(FebSun1+26)=CalendarYear,MONTH(FebSun1+26)=2),FebSun1+26,""),IF(AND(YEAR(FebSun1+33)=CalendarYear,MONTH(FebSun1+33)=2),FebSun1+33,""))</f>
        <v/>
      </c>
      <c r="AH18" s="9" t="str">
        <f ca="1">IF(DAY(FebSun1)=1,IF(AND(YEAR(FebSun1+27)=CalendarYear,MONTH(FebSun1+27)=2),FebSun1+27,""),IF(AND(YEAR(FebSun1+34)=CalendarYear,MONTH(FebSun1+34)=2),FebSun1+34,""))</f>
        <v/>
      </c>
      <c r="AI18" s="9" t="str">
        <f ca="1">IF(DAY(FebSun1)=1,IF(AND(YEAR(FebSun1+28)=CalendarYear,MONTH(FebSun1+28)=2),FebSun1+28,""),IF(AND(YEAR(FebSun1+35)=CalendarYear,MONTH(FebSun1+35)=2),FebSun1+35,""))</f>
        <v/>
      </c>
      <c r="AJ18" s="9" t="str">
        <f ca="1">IF(DAY(FebSun1)=1,IF(AND(YEAR(FebSun1+29)=CalendarYear,MONTH(FebSun1+29)=2),FebSun1+29,""),IF(AND(YEAR(FebSun1+36)=CalendarYear,MONTH(FebSun1+36)=2),FebSun1+36,""))</f>
        <v/>
      </c>
      <c r="AK18" s="11" t="str">
        <f ca="1">IF(DAY(FebSun1)=1,IF(AND(YEAR(FebSun1+30)=CalendarYear,MONTH(FebSun1+30)=2),FebSun1+30,""),IF(AND(YEAR(FebSun1+37)=CalendarYear,MONTH(FebSun1+37)=2),FebSun1+37,""))</f>
        <v/>
      </c>
    </row>
    <row r="19" spans="2:37" s="76" customFormat="1" ht="19.899999999999999" customHeight="1" x14ac:dyDescent="0.3">
      <c r="B19" s="239"/>
      <c r="C19" s="309"/>
      <c r="D19" s="310" t="s">
        <v>156</v>
      </c>
      <c r="E19" s="311"/>
      <c r="F19" s="311"/>
      <c r="G19" s="311"/>
      <c r="H19" s="300"/>
      <c r="I19" s="298" t="s">
        <v>18</v>
      </c>
      <c r="J19" s="299"/>
      <c r="K19" s="299"/>
      <c r="L19" s="300"/>
      <c r="M19" s="298" t="s">
        <v>19</v>
      </c>
      <c r="N19" s="299"/>
      <c r="O19" s="299"/>
      <c r="P19" s="300"/>
      <c r="Q19" s="298" t="s">
        <v>20</v>
      </c>
      <c r="R19" s="299"/>
      <c r="S19" s="299"/>
      <c r="T19" s="300"/>
      <c r="U19" s="79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2"/>
    </row>
    <row r="20" spans="2:37" ht="19.899999999999999" customHeight="1" x14ac:dyDescent="0.3">
      <c r="B20" s="83" t="s">
        <v>21</v>
      </c>
      <c r="C20" s="101" t="s">
        <v>22</v>
      </c>
      <c r="D20" s="306"/>
      <c r="E20" s="307"/>
      <c r="F20" s="307"/>
      <c r="G20" s="307"/>
      <c r="H20" s="96"/>
      <c r="I20" s="306"/>
      <c r="J20" s="307"/>
      <c r="K20" s="307"/>
      <c r="L20" s="308"/>
      <c r="M20" s="306"/>
      <c r="N20" s="307"/>
      <c r="O20" s="307"/>
      <c r="P20" s="308"/>
      <c r="Q20" s="306"/>
      <c r="R20" s="307"/>
      <c r="S20" s="307"/>
      <c r="T20" s="308"/>
      <c r="U20" s="8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7" ht="19.899999999999999" customHeight="1" x14ac:dyDescent="0.3">
      <c r="B21" s="84" t="s">
        <v>23</v>
      </c>
      <c r="C21" s="102" t="s">
        <v>24</v>
      </c>
      <c r="D21" s="306"/>
      <c r="E21" s="307"/>
      <c r="F21" s="307"/>
      <c r="G21" s="307"/>
      <c r="H21" s="96"/>
      <c r="I21" s="306"/>
      <c r="J21" s="307"/>
      <c r="K21" s="307"/>
      <c r="L21" s="308"/>
      <c r="M21" s="306"/>
      <c r="N21" s="307"/>
      <c r="O21" s="307"/>
      <c r="P21" s="308"/>
      <c r="Q21" s="306"/>
      <c r="R21" s="307"/>
      <c r="S21" s="307"/>
      <c r="T21" s="308"/>
      <c r="U21" s="81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 ht="19.899999999999999" customHeight="1" x14ac:dyDescent="0.3">
      <c r="B22" s="84" t="s">
        <v>25</v>
      </c>
      <c r="C22" s="102" t="s">
        <v>26</v>
      </c>
      <c r="D22" s="306"/>
      <c r="E22" s="307"/>
      <c r="F22" s="307"/>
      <c r="G22" s="307"/>
      <c r="H22" s="96"/>
      <c r="I22" s="306"/>
      <c r="J22" s="307"/>
      <c r="K22" s="307"/>
      <c r="L22" s="308"/>
      <c r="M22" s="306"/>
      <c r="N22" s="307"/>
      <c r="O22" s="307"/>
      <c r="P22" s="308"/>
      <c r="Q22" s="306"/>
      <c r="R22" s="307"/>
      <c r="S22" s="307"/>
      <c r="T22" s="308"/>
      <c r="U22" s="81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37" ht="19.899999999999999" customHeight="1" x14ac:dyDescent="0.3">
      <c r="B23" s="84" t="s">
        <v>27</v>
      </c>
      <c r="C23" s="102" t="s">
        <v>28</v>
      </c>
      <c r="D23" s="306"/>
      <c r="E23" s="307"/>
      <c r="F23" s="307"/>
      <c r="G23" s="307"/>
      <c r="H23" s="96"/>
      <c r="I23" s="306"/>
      <c r="J23" s="307"/>
      <c r="K23" s="307"/>
      <c r="L23" s="308"/>
      <c r="M23" s="306"/>
      <c r="N23" s="307"/>
      <c r="O23" s="307"/>
      <c r="P23" s="308"/>
      <c r="Q23" s="306"/>
      <c r="R23" s="307"/>
      <c r="S23" s="307"/>
      <c r="T23" s="308"/>
      <c r="U23" s="81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2:37" ht="19.899999999999999" customHeight="1" x14ac:dyDescent="0.3">
      <c r="B24" s="84" t="s">
        <v>29</v>
      </c>
      <c r="C24" s="102" t="s">
        <v>30</v>
      </c>
      <c r="D24" s="306"/>
      <c r="E24" s="307"/>
      <c r="F24" s="307"/>
      <c r="G24" s="307"/>
      <c r="H24" s="96"/>
      <c r="I24" s="306"/>
      <c r="J24" s="307"/>
      <c r="K24" s="307"/>
      <c r="L24" s="308"/>
      <c r="M24" s="306"/>
      <c r="N24" s="307"/>
      <c r="O24" s="307"/>
      <c r="P24" s="308"/>
      <c r="Q24" s="306"/>
      <c r="R24" s="307"/>
      <c r="S24" s="307"/>
      <c r="T24" s="308"/>
      <c r="U24" s="81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2:37" ht="19.899999999999999" customHeight="1" x14ac:dyDescent="0.3">
      <c r="B25" s="84" t="s">
        <v>31</v>
      </c>
      <c r="C25" s="102" t="s">
        <v>30</v>
      </c>
      <c r="D25" s="306"/>
      <c r="E25" s="307"/>
      <c r="F25" s="307"/>
      <c r="G25" s="307"/>
      <c r="H25" s="96"/>
      <c r="I25" s="306"/>
      <c r="J25" s="307"/>
      <c r="K25" s="307"/>
      <c r="L25" s="308"/>
      <c r="M25" s="306"/>
      <c r="N25" s="307"/>
      <c r="O25" s="307"/>
      <c r="P25" s="308"/>
      <c r="Q25" s="306"/>
      <c r="R25" s="307"/>
      <c r="S25" s="307"/>
      <c r="T25" s="308"/>
      <c r="U25" s="81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2:37" ht="19.899999999999999" customHeight="1" x14ac:dyDescent="0.3">
      <c r="B26" s="85" t="s">
        <v>32</v>
      </c>
      <c r="C26" s="102" t="s">
        <v>30</v>
      </c>
      <c r="D26" s="306"/>
      <c r="E26" s="307"/>
      <c r="F26" s="307"/>
      <c r="G26" s="307"/>
      <c r="H26" s="96"/>
      <c r="I26" s="306"/>
      <c r="J26" s="307"/>
      <c r="K26" s="307"/>
      <c r="L26" s="308"/>
      <c r="M26" s="306"/>
      <c r="N26" s="307"/>
      <c r="O26" s="307"/>
      <c r="P26" s="308"/>
      <c r="Q26" s="306"/>
      <c r="R26" s="307"/>
      <c r="S26" s="307"/>
      <c r="T26" s="308"/>
      <c r="U26" s="81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2:37" ht="19.899999999999999" customHeight="1" x14ac:dyDescent="0.3">
      <c r="B27" s="97" t="s">
        <v>157</v>
      </c>
      <c r="C27" s="103" t="s">
        <v>22</v>
      </c>
      <c r="D27" s="306">
        <v>75</v>
      </c>
      <c r="E27" s="307"/>
      <c r="F27" s="307"/>
      <c r="G27" s="307"/>
      <c r="H27" s="95"/>
      <c r="I27" s="306">
        <v>100</v>
      </c>
      <c r="J27" s="307"/>
      <c r="K27" s="307"/>
      <c r="L27" s="308"/>
      <c r="M27" s="306"/>
      <c r="N27" s="307"/>
      <c r="O27" s="307"/>
      <c r="P27" s="308"/>
      <c r="Q27" s="306"/>
      <c r="R27" s="307"/>
      <c r="S27" s="307"/>
      <c r="T27" s="308"/>
      <c r="U27" s="81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2:37" ht="19.899999999999999" customHeight="1" x14ac:dyDescent="0.3">
      <c r="B28" s="97" t="s">
        <v>158</v>
      </c>
      <c r="C28" s="103" t="s">
        <v>22</v>
      </c>
      <c r="D28" s="306"/>
      <c r="E28" s="307"/>
      <c r="F28" s="307"/>
      <c r="G28" s="307"/>
      <c r="H28" s="96"/>
      <c r="I28" s="306"/>
      <c r="J28" s="307"/>
      <c r="K28" s="307"/>
      <c r="L28" s="308"/>
      <c r="M28" s="306"/>
      <c r="N28" s="307"/>
      <c r="O28" s="307"/>
      <c r="P28" s="308"/>
      <c r="Q28" s="306"/>
      <c r="R28" s="307"/>
      <c r="S28" s="307"/>
      <c r="T28" s="308"/>
      <c r="U28" s="81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2:37" ht="19.899999999999999" customHeight="1" x14ac:dyDescent="0.3">
      <c r="B29" s="97" t="s">
        <v>159</v>
      </c>
      <c r="C29" s="103" t="s">
        <v>22</v>
      </c>
      <c r="D29" s="306"/>
      <c r="E29" s="307"/>
      <c r="F29" s="307"/>
      <c r="G29" s="307"/>
      <c r="H29" s="95"/>
      <c r="I29" s="306"/>
      <c r="J29" s="307"/>
      <c r="K29" s="307"/>
      <c r="L29" s="308"/>
      <c r="M29" s="306"/>
      <c r="N29" s="307"/>
      <c r="O29" s="307"/>
      <c r="P29" s="308"/>
      <c r="Q29" s="306"/>
      <c r="R29" s="307"/>
      <c r="S29" s="307"/>
      <c r="T29" s="308"/>
      <c r="U29" s="81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2:37" ht="19.899999999999999" customHeight="1" x14ac:dyDescent="0.3">
      <c r="B30" s="97" t="s">
        <v>160</v>
      </c>
      <c r="C30" s="103" t="s">
        <v>22</v>
      </c>
      <c r="D30" s="306"/>
      <c r="E30" s="307"/>
      <c r="F30" s="307"/>
      <c r="G30" s="307"/>
      <c r="H30" s="95"/>
      <c r="I30" s="306"/>
      <c r="J30" s="307"/>
      <c r="K30" s="307"/>
      <c r="L30" s="308"/>
      <c r="M30" s="306"/>
      <c r="N30" s="307"/>
      <c r="O30" s="307"/>
      <c r="P30" s="308"/>
      <c r="Q30" s="306"/>
      <c r="R30" s="307"/>
      <c r="S30" s="307"/>
      <c r="T30" s="308"/>
      <c r="U30" s="81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2:37" ht="19.899999999999999" customHeight="1" x14ac:dyDescent="0.3">
      <c r="B31" s="97" t="s">
        <v>161</v>
      </c>
      <c r="C31" s="103" t="s">
        <v>22</v>
      </c>
      <c r="D31" s="306"/>
      <c r="E31" s="307"/>
      <c r="F31" s="307"/>
      <c r="G31" s="307"/>
      <c r="H31" s="95"/>
      <c r="I31" s="306"/>
      <c r="J31" s="307"/>
      <c r="K31" s="307"/>
      <c r="L31" s="308"/>
      <c r="M31" s="306"/>
      <c r="N31" s="307"/>
      <c r="O31" s="307"/>
      <c r="P31" s="308"/>
      <c r="Q31" s="306"/>
      <c r="R31" s="307"/>
      <c r="S31" s="307"/>
      <c r="T31" s="308"/>
      <c r="U31" s="81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2:37" ht="19.899999999999999" customHeight="1" x14ac:dyDescent="0.3">
      <c r="B32" s="97" t="s">
        <v>162</v>
      </c>
      <c r="C32" s="103" t="s">
        <v>22</v>
      </c>
      <c r="D32" s="306"/>
      <c r="E32" s="307"/>
      <c r="F32" s="307"/>
      <c r="G32" s="307"/>
      <c r="H32" s="96"/>
      <c r="I32" s="306"/>
      <c r="J32" s="307"/>
      <c r="K32" s="307"/>
      <c r="L32" s="308"/>
      <c r="M32" s="306"/>
      <c r="N32" s="307"/>
      <c r="O32" s="307"/>
      <c r="P32" s="308"/>
      <c r="Q32" s="306"/>
      <c r="R32" s="307"/>
      <c r="S32" s="307"/>
      <c r="T32" s="308"/>
      <c r="U32" s="81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2:37" ht="19.899999999999999" customHeight="1" x14ac:dyDescent="0.3">
      <c r="B33" s="97" t="s">
        <v>163</v>
      </c>
      <c r="C33" s="103" t="s">
        <v>22</v>
      </c>
      <c r="D33" s="306"/>
      <c r="E33" s="307"/>
      <c r="F33" s="307"/>
      <c r="G33" s="307"/>
      <c r="H33" s="95"/>
      <c r="I33" s="306"/>
      <c r="J33" s="307"/>
      <c r="K33" s="307"/>
      <c r="L33" s="308"/>
      <c r="M33" s="306"/>
      <c r="N33" s="307"/>
      <c r="O33" s="307"/>
      <c r="P33" s="308"/>
      <c r="Q33" s="306"/>
      <c r="R33" s="307"/>
      <c r="S33" s="307"/>
      <c r="T33" s="308"/>
      <c r="U33" s="81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2:37" ht="19.899999999999999" customHeight="1" x14ac:dyDescent="0.3">
      <c r="B34" s="97" t="s">
        <v>164</v>
      </c>
      <c r="C34" s="103" t="s">
        <v>22</v>
      </c>
      <c r="D34" s="306"/>
      <c r="E34" s="307"/>
      <c r="F34" s="307"/>
      <c r="G34" s="307"/>
      <c r="H34" s="95"/>
      <c r="I34" s="306"/>
      <c r="J34" s="307"/>
      <c r="K34" s="307"/>
      <c r="L34" s="308"/>
      <c r="M34" s="306"/>
      <c r="N34" s="307"/>
      <c r="O34" s="307"/>
      <c r="P34" s="308"/>
      <c r="Q34" s="306"/>
      <c r="R34" s="307"/>
      <c r="S34" s="307"/>
      <c r="T34" s="308"/>
      <c r="U34" s="81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2:37" ht="19.899999999999999" customHeight="1" x14ac:dyDescent="0.3">
      <c r="B35" s="98" t="s">
        <v>165</v>
      </c>
      <c r="C35" s="104" t="s">
        <v>28</v>
      </c>
      <c r="D35" s="306"/>
      <c r="E35" s="307"/>
      <c r="F35" s="307"/>
      <c r="G35" s="307"/>
      <c r="H35" s="95"/>
      <c r="I35" s="306"/>
      <c r="J35" s="307"/>
      <c r="K35" s="307"/>
      <c r="L35" s="308"/>
      <c r="M35" s="306"/>
      <c r="N35" s="307"/>
      <c r="O35" s="307"/>
      <c r="P35" s="308"/>
      <c r="Q35" s="306"/>
      <c r="R35" s="307"/>
      <c r="S35" s="307"/>
      <c r="T35" s="308"/>
      <c r="U35" s="81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2:37" ht="19.899999999999999" customHeight="1" x14ac:dyDescent="0.3">
      <c r="B36" s="98" t="s">
        <v>166</v>
      </c>
      <c r="C36" s="104" t="s">
        <v>28</v>
      </c>
      <c r="D36" s="306"/>
      <c r="E36" s="307"/>
      <c r="F36" s="307"/>
      <c r="G36" s="307"/>
      <c r="H36" s="95"/>
      <c r="I36" s="306"/>
      <c r="J36" s="307"/>
      <c r="K36" s="307"/>
      <c r="L36" s="308"/>
      <c r="M36" s="306"/>
      <c r="N36" s="307"/>
      <c r="O36" s="307"/>
      <c r="P36" s="308"/>
      <c r="Q36" s="306"/>
      <c r="R36" s="307"/>
      <c r="S36" s="307"/>
      <c r="T36" s="308"/>
      <c r="U36" s="81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 ht="19.899999999999999" customHeight="1" x14ac:dyDescent="0.3">
      <c r="B37" s="98" t="s">
        <v>167</v>
      </c>
      <c r="C37" s="104" t="s">
        <v>28</v>
      </c>
      <c r="D37" s="306"/>
      <c r="E37" s="307"/>
      <c r="F37" s="307"/>
      <c r="G37" s="307"/>
      <c r="H37" s="95"/>
      <c r="I37" s="306"/>
      <c r="J37" s="307"/>
      <c r="K37" s="307"/>
      <c r="L37" s="308"/>
      <c r="M37" s="306"/>
      <c r="N37" s="307"/>
      <c r="O37" s="307"/>
      <c r="P37" s="308"/>
      <c r="Q37" s="306"/>
      <c r="R37" s="307"/>
      <c r="S37" s="307"/>
      <c r="T37" s="308"/>
      <c r="U37" s="81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2:37" ht="19.899999999999999" customHeight="1" x14ac:dyDescent="0.3">
      <c r="B38" s="98" t="s">
        <v>168</v>
      </c>
      <c r="C38" s="104" t="s">
        <v>28</v>
      </c>
      <c r="D38" s="306"/>
      <c r="E38" s="307"/>
      <c r="F38" s="307"/>
      <c r="G38" s="307"/>
      <c r="H38" s="95"/>
      <c r="I38" s="306"/>
      <c r="J38" s="307"/>
      <c r="K38" s="307"/>
      <c r="L38" s="308"/>
      <c r="M38" s="306"/>
      <c r="N38" s="307"/>
      <c r="O38" s="307"/>
      <c r="P38" s="308"/>
      <c r="Q38" s="306"/>
      <c r="R38" s="307"/>
      <c r="S38" s="307"/>
      <c r="T38" s="308"/>
      <c r="U38" s="81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2:37" ht="19.899999999999999" customHeight="1" x14ac:dyDescent="0.3">
      <c r="B39" s="99" t="s">
        <v>169</v>
      </c>
      <c r="C39" s="105" t="s">
        <v>26</v>
      </c>
      <c r="D39" s="306"/>
      <c r="E39" s="307"/>
      <c r="F39" s="307"/>
      <c r="G39" s="307"/>
      <c r="H39" s="95"/>
      <c r="I39" s="306"/>
      <c r="J39" s="307"/>
      <c r="K39" s="307"/>
      <c r="L39" s="308"/>
      <c r="M39" s="306"/>
      <c r="N39" s="307"/>
      <c r="O39" s="307"/>
      <c r="P39" s="308"/>
      <c r="Q39" s="306"/>
      <c r="R39" s="307"/>
      <c r="S39" s="307"/>
      <c r="T39" s="308"/>
      <c r="U39" s="81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2:37" ht="19.899999999999999" customHeight="1" x14ac:dyDescent="0.3">
      <c r="B40" s="100" t="s">
        <v>170</v>
      </c>
      <c r="C40" s="106" t="s">
        <v>24</v>
      </c>
      <c r="D40" s="306"/>
      <c r="E40" s="307"/>
      <c r="F40" s="307"/>
      <c r="G40" s="307"/>
      <c r="H40" s="95"/>
      <c r="I40" s="306"/>
      <c r="J40" s="307"/>
      <c r="K40" s="307"/>
      <c r="L40" s="308"/>
      <c r="M40" s="306"/>
      <c r="N40" s="307"/>
      <c r="O40" s="307"/>
      <c r="P40" s="308"/>
      <c r="Q40" s="306"/>
      <c r="R40" s="307"/>
      <c r="S40" s="307"/>
      <c r="T40" s="308"/>
      <c r="U40" s="81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2:37" ht="19.899999999999999" customHeight="1" thickBot="1" x14ac:dyDescent="0.35">
      <c r="B41" s="100" t="s">
        <v>171</v>
      </c>
      <c r="C41" s="106" t="s">
        <v>24</v>
      </c>
      <c r="D41" s="312"/>
      <c r="E41" s="313"/>
      <c r="F41" s="313"/>
      <c r="G41" s="313"/>
      <c r="H41" s="113"/>
      <c r="I41" s="312"/>
      <c r="J41" s="313"/>
      <c r="K41" s="313"/>
      <c r="L41" s="317"/>
      <c r="M41" s="312"/>
      <c r="N41" s="313"/>
      <c r="O41" s="313"/>
      <c r="P41" s="317"/>
      <c r="Q41" s="312"/>
      <c r="R41" s="313"/>
      <c r="S41" s="313"/>
      <c r="T41" s="317"/>
      <c r="U41" s="81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2:37" ht="19.899999999999999" customHeight="1" x14ac:dyDescent="0.3">
      <c r="B42" s="84"/>
      <c r="C42" s="91"/>
      <c r="D42" s="314"/>
      <c r="E42" s="315"/>
      <c r="F42" s="315"/>
      <c r="G42" s="315"/>
      <c r="H42" s="114"/>
      <c r="I42" s="107"/>
      <c r="J42" s="108"/>
      <c r="K42" s="108"/>
      <c r="L42" s="108"/>
      <c r="M42" s="107"/>
      <c r="N42" s="108"/>
      <c r="O42" s="108"/>
      <c r="P42" s="108"/>
      <c r="Q42" s="107"/>
      <c r="R42" s="108"/>
      <c r="S42" s="108"/>
      <c r="T42" s="108"/>
      <c r="U42" s="81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2:37" ht="19.899999999999999" customHeight="1" x14ac:dyDescent="0.3">
      <c r="B43" s="85"/>
      <c r="C43" s="91"/>
      <c r="D43" s="193"/>
      <c r="E43" s="194"/>
      <c r="F43" s="194"/>
      <c r="G43" s="194"/>
      <c r="H43" s="96"/>
      <c r="I43" s="193"/>
      <c r="J43" s="194"/>
      <c r="K43" s="194"/>
      <c r="L43" s="194"/>
      <c r="M43" s="193"/>
      <c r="N43" s="194"/>
      <c r="O43" s="194"/>
      <c r="P43" s="194"/>
      <c r="Q43" s="193"/>
      <c r="R43" s="194"/>
      <c r="S43" s="194"/>
      <c r="T43" s="194"/>
      <c r="U43" s="81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2:37" ht="19.899999999999999" customHeight="1" thickBot="1" x14ac:dyDescent="0.35">
      <c r="B44" s="74"/>
      <c r="C44" s="74"/>
    </row>
    <row r="45" spans="2:37" s="75" customFormat="1" ht="19.899999999999999" customHeight="1" x14ac:dyDescent="0.3">
      <c r="B45" s="211">
        <f ca="1">DATE(CalendarYear,3,1)</f>
        <v>46082</v>
      </c>
      <c r="C45" s="296" t="s">
        <v>17</v>
      </c>
      <c r="D45" s="213" t="s">
        <v>5</v>
      </c>
      <c r="E45" s="214"/>
      <c r="F45" s="214"/>
      <c r="G45" s="214"/>
      <c r="H45" s="215"/>
      <c r="I45" s="213" t="s">
        <v>6</v>
      </c>
      <c r="J45" s="214"/>
      <c r="K45" s="214"/>
      <c r="L45" s="215"/>
      <c r="M45" s="213" t="s">
        <v>7</v>
      </c>
      <c r="N45" s="214"/>
      <c r="O45" s="214"/>
      <c r="P45" s="215"/>
      <c r="Q45" s="213" t="s">
        <v>8</v>
      </c>
      <c r="R45" s="214"/>
      <c r="S45" s="214"/>
      <c r="T45" s="215"/>
      <c r="U45" s="8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1"/>
    </row>
    <row r="46" spans="2:37" s="75" customFormat="1" ht="19.899999999999999" customHeight="1" x14ac:dyDescent="0.3">
      <c r="B46" s="212"/>
      <c r="C46" s="297"/>
      <c r="D46" s="318" t="s">
        <v>33</v>
      </c>
      <c r="E46" s="319"/>
      <c r="F46" s="319"/>
      <c r="G46" s="320"/>
      <c r="H46" s="112"/>
      <c r="I46" s="318" t="s">
        <v>34</v>
      </c>
      <c r="J46" s="319"/>
      <c r="K46" s="319"/>
      <c r="L46" s="321"/>
      <c r="M46" s="318" t="s">
        <v>35</v>
      </c>
      <c r="N46" s="319"/>
      <c r="O46" s="319"/>
      <c r="P46" s="321"/>
      <c r="Q46" s="318" t="s">
        <v>36</v>
      </c>
      <c r="R46" s="319"/>
      <c r="S46" s="319"/>
      <c r="T46" s="321"/>
      <c r="U46" s="79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2"/>
    </row>
    <row r="47" spans="2:37" ht="19.899999999999999" customHeight="1" x14ac:dyDescent="0.3">
      <c r="B47" s="83" t="s">
        <v>21</v>
      </c>
      <c r="C47" s="101" t="s">
        <v>22</v>
      </c>
      <c r="D47" s="306"/>
      <c r="E47" s="307"/>
      <c r="F47" s="307"/>
      <c r="G47" s="307"/>
      <c r="H47" s="96"/>
      <c r="I47" s="306"/>
      <c r="J47" s="307"/>
      <c r="K47" s="307"/>
      <c r="L47" s="308"/>
      <c r="M47" s="306"/>
      <c r="N47" s="307"/>
      <c r="O47" s="307"/>
      <c r="P47" s="308"/>
      <c r="Q47" s="306"/>
      <c r="R47" s="307"/>
      <c r="S47" s="307"/>
      <c r="T47" s="308"/>
      <c r="U47" s="8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2:37" ht="19.899999999999999" customHeight="1" x14ac:dyDescent="0.3">
      <c r="B48" s="84" t="s">
        <v>23</v>
      </c>
      <c r="C48" s="102" t="s">
        <v>24</v>
      </c>
      <c r="D48" s="306"/>
      <c r="E48" s="307"/>
      <c r="F48" s="307"/>
      <c r="G48" s="307"/>
      <c r="H48" s="96"/>
      <c r="I48" s="306"/>
      <c r="J48" s="307"/>
      <c r="K48" s="307"/>
      <c r="L48" s="308"/>
      <c r="M48" s="306"/>
      <c r="N48" s="307"/>
      <c r="O48" s="307"/>
      <c r="P48" s="308"/>
      <c r="Q48" s="306"/>
      <c r="R48" s="307"/>
      <c r="S48" s="307"/>
      <c r="T48" s="308"/>
      <c r="U48" s="81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2:37" ht="19.899999999999999" customHeight="1" x14ac:dyDescent="0.3">
      <c r="B49" s="84" t="s">
        <v>25</v>
      </c>
      <c r="C49" s="102" t="s">
        <v>26</v>
      </c>
      <c r="D49" s="306"/>
      <c r="E49" s="307"/>
      <c r="F49" s="307"/>
      <c r="G49" s="307"/>
      <c r="H49" s="96"/>
      <c r="I49" s="306"/>
      <c r="J49" s="307"/>
      <c r="K49" s="307"/>
      <c r="L49" s="308"/>
      <c r="M49" s="306"/>
      <c r="N49" s="307"/>
      <c r="O49" s="307"/>
      <c r="P49" s="308"/>
      <c r="Q49" s="306"/>
      <c r="R49" s="307"/>
      <c r="S49" s="307"/>
      <c r="T49" s="308"/>
      <c r="U49" s="81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2:37" ht="19.899999999999999" customHeight="1" x14ac:dyDescent="0.3">
      <c r="B50" s="84" t="s">
        <v>27</v>
      </c>
      <c r="C50" s="102" t="s">
        <v>28</v>
      </c>
      <c r="D50" s="306"/>
      <c r="E50" s="307"/>
      <c r="F50" s="307"/>
      <c r="G50" s="307"/>
      <c r="H50" s="96"/>
      <c r="I50" s="306"/>
      <c r="J50" s="307"/>
      <c r="K50" s="307"/>
      <c r="L50" s="308"/>
      <c r="M50" s="306"/>
      <c r="N50" s="307"/>
      <c r="O50" s="307"/>
      <c r="P50" s="308"/>
      <c r="Q50" s="306"/>
      <c r="R50" s="307"/>
      <c r="S50" s="307"/>
      <c r="T50" s="308"/>
      <c r="U50" s="81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2:37" ht="19.899999999999999" customHeight="1" x14ac:dyDescent="0.3">
      <c r="B51" s="84" t="s">
        <v>29</v>
      </c>
      <c r="C51" s="102" t="s">
        <v>30</v>
      </c>
      <c r="D51" s="306"/>
      <c r="E51" s="307"/>
      <c r="F51" s="307"/>
      <c r="G51" s="307"/>
      <c r="H51" s="96"/>
      <c r="I51" s="306"/>
      <c r="J51" s="307"/>
      <c r="K51" s="307"/>
      <c r="L51" s="308"/>
      <c r="M51" s="306"/>
      <c r="N51" s="307"/>
      <c r="O51" s="307"/>
      <c r="P51" s="308"/>
      <c r="Q51" s="306"/>
      <c r="R51" s="307"/>
      <c r="S51" s="307"/>
      <c r="T51" s="308"/>
      <c r="U51" s="81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2:37" ht="19.899999999999999" customHeight="1" x14ac:dyDescent="0.3">
      <c r="B52" s="84" t="s">
        <v>31</v>
      </c>
      <c r="C52" s="102" t="s">
        <v>30</v>
      </c>
      <c r="D52" s="306"/>
      <c r="E52" s="307"/>
      <c r="F52" s="307"/>
      <c r="G52" s="307"/>
      <c r="H52" s="96"/>
      <c r="I52" s="306"/>
      <c r="J52" s="307"/>
      <c r="K52" s="307"/>
      <c r="L52" s="308"/>
      <c r="M52" s="306"/>
      <c r="N52" s="307"/>
      <c r="O52" s="307"/>
      <c r="P52" s="308"/>
      <c r="Q52" s="306"/>
      <c r="R52" s="307"/>
      <c r="S52" s="307"/>
      <c r="T52" s="308"/>
      <c r="U52" s="81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2:37" ht="19.899999999999999" customHeight="1" x14ac:dyDescent="0.3">
      <c r="B53" s="85" t="s">
        <v>32</v>
      </c>
      <c r="C53" s="102" t="s">
        <v>30</v>
      </c>
      <c r="D53" s="306"/>
      <c r="E53" s="307"/>
      <c r="F53" s="307"/>
      <c r="G53" s="307"/>
      <c r="H53" s="96"/>
      <c r="I53" s="306"/>
      <c r="J53" s="307"/>
      <c r="K53" s="307"/>
      <c r="L53" s="308"/>
      <c r="M53" s="306"/>
      <c r="N53" s="307"/>
      <c r="O53" s="307"/>
      <c r="P53" s="308"/>
      <c r="Q53" s="306"/>
      <c r="R53" s="307"/>
      <c r="S53" s="307"/>
      <c r="T53" s="308"/>
      <c r="U53" s="81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2:37" ht="19.899999999999999" customHeight="1" x14ac:dyDescent="0.3">
      <c r="B54" s="97" t="s">
        <v>157</v>
      </c>
      <c r="C54" s="103" t="s">
        <v>22</v>
      </c>
      <c r="D54" s="306"/>
      <c r="E54" s="307"/>
      <c r="F54" s="307"/>
      <c r="G54" s="307"/>
      <c r="H54" s="95"/>
      <c r="I54" s="306"/>
      <c r="J54" s="307"/>
      <c r="K54" s="307"/>
      <c r="L54" s="308"/>
      <c r="M54" s="306"/>
      <c r="N54" s="307"/>
      <c r="O54" s="307"/>
      <c r="P54" s="308"/>
      <c r="Q54" s="306"/>
      <c r="R54" s="307"/>
      <c r="S54" s="307"/>
      <c r="T54" s="308"/>
      <c r="U54" s="81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2:37" ht="19.899999999999999" customHeight="1" x14ac:dyDescent="0.3">
      <c r="B55" s="97" t="s">
        <v>158</v>
      </c>
      <c r="C55" s="103" t="s">
        <v>22</v>
      </c>
      <c r="D55" s="306"/>
      <c r="E55" s="307"/>
      <c r="F55" s="307"/>
      <c r="G55" s="307"/>
      <c r="H55" s="96"/>
      <c r="I55" s="306"/>
      <c r="J55" s="307"/>
      <c r="K55" s="307"/>
      <c r="L55" s="308"/>
      <c r="M55" s="306"/>
      <c r="N55" s="307"/>
      <c r="O55" s="307"/>
      <c r="P55" s="308"/>
      <c r="Q55" s="306"/>
      <c r="R55" s="307"/>
      <c r="S55" s="307"/>
      <c r="T55" s="308"/>
      <c r="U55" s="81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2:37" ht="19.899999999999999" customHeight="1" x14ac:dyDescent="0.3">
      <c r="B56" s="97" t="s">
        <v>159</v>
      </c>
      <c r="C56" s="103" t="s">
        <v>22</v>
      </c>
      <c r="D56" s="306"/>
      <c r="E56" s="307"/>
      <c r="F56" s="307"/>
      <c r="G56" s="307"/>
      <c r="H56" s="95"/>
      <c r="I56" s="306"/>
      <c r="J56" s="307"/>
      <c r="K56" s="307"/>
      <c r="L56" s="308"/>
      <c r="M56" s="306"/>
      <c r="N56" s="307"/>
      <c r="O56" s="307"/>
      <c r="P56" s="308"/>
      <c r="Q56" s="306"/>
      <c r="R56" s="307"/>
      <c r="S56" s="307"/>
      <c r="T56" s="308"/>
      <c r="U56" s="81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2:37" ht="19.899999999999999" customHeight="1" x14ac:dyDescent="0.3">
      <c r="B57" s="97" t="s">
        <v>160</v>
      </c>
      <c r="C57" s="103" t="s">
        <v>22</v>
      </c>
      <c r="D57" s="306"/>
      <c r="E57" s="307"/>
      <c r="F57" s="307"/>
      <c r="G57" s="307"/>
      <c r="H57" s="95"/>
      <c r="I57" s="306"/>
      <c r="J57" s="307"/>
      <c r="K57" s="307"/>
      <c r="L57" s="308"/>
      <c r="M57" s="306"/>
      <c r="N57" s="307"/>
      <c r="O57" s="307"/>
      <c r="P57" s="308"/>
      <c r="Q57" s="306"/>
      <c r="R57" s="307"/>
      <c r="S57" s="307"/>
      <c r="T57" s="308"/>
      <c r="U57" s="81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2:37" ht="19.899999999999999" customHeight="1" x14ac:dyDescent="0.3">
      <c r="B58" s="97" t="s">
        <v>161</v>
      </c>
      <c r="C58" s="103" t="s">
        <v>22</v>
      </c>
      <c r="D58" s="306"/>
      <c r="E58" s="307"/>
      <c r="F58" s="307"/>
      <c r="G58" s="307"/>
      <c r="H58" s="95"/>
      <c r="I58" s="306"/>
      <c r="J58" s="307"/>
      <c r="K58" s="307"/>
      <c r="L58" s="308"/>
      <c r="M58" s="306"/>
      <c r="N58" s="307"/>
      <c r="O58" s="307"/>
      <c r="P58" s="308"/>
      <c r="Q58" s="306"/>
      <c r="R58" s="307"/>
      <c r="S58" s="307"/>
      <c r="T58" s="308"/>
      <c r="U58" s="81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2:37" ht="19.899999999999999" customHeight="1" x14ac:dyDescent="0.3">
      <c r="B59" s="97" t="s">
        <v>162</v>
      </c>
      <c r="C59" s="103" t="s">
        <v>22</v>
      </c>
      <c r="D59" s="306"/>
      <c r="E59" s="307"/>
      <c r="F59" s="307"/>
      <c r="G59" s="307"/>
      <c r="H59" s="96"/>
      <c r="I59" s="306"/>
      <c r="J59" s="307"/>
      <c r="K59" s="307"/>
      <c r="L59" s="308"/>
      <c r="M59" s="306"/>
      <c r="N59" s="307"/>
      <c r="O59" s="307"/>
      <c r="P59" s="308"/>
      <c r="Q59" s="306"/>
      <c r="R59" s="307"/>
      <c r="S59" s="307"/>
      <c r="T59" s="308"/>
      <c r="U59" s="81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2:37" ht="19.899999999999999" customHeight="1" x14ac:dyDescent="0.3">
      <c r="B60" s="97" t="s">
        <v>163</v>
      </c>
      <c r="C60" s="103" t="s">
        <v>22</v>
      </c>
      <c r="D60" s="306"/>
      <c r="E60" s="307"/>
      <c r="F60" s="307"/>
      <c r="G60" s="307"/>
      <c r="H60" s="95"/>
      <c r="I60" s="306"/>
      <c r="J60" s="307"/>
      <c r="K60" s="307"/>
      <c r="L60" s="308"/>
      <c r="M60" s="306"/>
      <c r="N60" s="307"/>
      <c r="O60" s="307"/>
      <c r="P60" s="308"/>
      <c r="Q60" s="306"/>
      <c r="R60" s="307"/>
      <c r="S60" s="307"/>
      <c r="T60" s="308"/>
      <c r="U60" s="81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2:37" ht="19.899999999999999" customHeight="1" x14ac:dyDescent="0.3">
      <c r="B61" s="97" t="s">
        <v>164</v>
      </c>
      <c r="C61" s="103" t="s">
        <v>22</v>
      </c>
      <c r="D61" s="306"/>
      <c r="E61" s="307"/>
      <c r="F61" s="307"/>
      <c r="G61" s="307"/>
      <c r="H61" s="95"/>
      <c r="I61" s="306"/>
      <c r="J61" s="307"/>
      <c r="K61" s="307"/>
      <c r="L61" s="308"/>
      <c r="M61" s="306"/>
      <c r="N61" s="307"/>
      <c r="O61" s="307"/>
      <c r="P61" s="308"/>
      <c r="Q61" s="306"/>
      <c r="R61" s="307"/>
      <c r="S61" s="307"/>
      <c r="T61" s="308"/>
      <c r="U61" s="81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2:37" ht="19.899999999999999" customHeight="1" x14ac:dyDescent="0.3">
      <c r="B62" s="98" t="s">
        <v>165</v>
      </c>
      <c r="C62" s="104" t="s">
        <v>28</v>
      </c>
      <c r="D62" s="306"/>
      <c r="E62" s="307"/>
      <c r="F62" s="307"/>
      <c r="G62" s="307"/>
      <c r="H62" s="95"/>
      <c r="I62" s="306"/>
      <c r="J62" s="307"/>
      <c r="K62" s="307"/>
      <c r="L62" s="308"/>
      <c r="M62" s="306"/>
      <c r="N62" s="307"/>
      <c r="O62" s="307"/>
      <c r="P62" s="308"/>
      <c r="Q62" s="306"/>
      <c r="R62" s="307"/>
      <c r="S62" s="307"/>
      <c r="T62" s="308"/>
      <c r="U62" s="81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2:37" ht="19.899999999999999" customHeight="1" x14ac:dyDescent="0.3">
      <c r="B63" s="98" t="s">
        <v>166</v>
      </c>
      <c r="C63" s="104" t="s">
        <v>28</v>
      </c>
      <c r="D63" s="306"/>
      <c r="E63" s="307"/>
      <c r="F63" s="307"/>
      <c r="G63" s="307"/>
      <c r="H63" s="95"/>
      <c r="I63" s="306"/>
      <c r="J63" s="307"/>
      <c r="K63" s="307"/>
      <c r="L63" s="308"/>
      <c r="M63" s="306"/>
      <c r="N63" s="307"/>
      <c r="O63" s="307"/>
      <c r="P63" s="308"/>
      <c r="Q63" s="306"/>
      <c r="R63" s="307"/>
      <c r="S63" s="307"/>
      <c r="T63" s="308"/>
      <c r="U63" s="81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2:37" ht="19.899999999999999" customHeight="1" x14ac:dyDescent="0.3">
      <c r="B64" s="98" t="s">
        <v>167</v>
      </c>
      <c r="C64" s="104" t="s">
        <v>28</v>
      </c>
      <c r="D64" s="306"/>
      <c r="E64" s="307"/>
      <c r="F64" s="307"/>
      <c r="G64" s="307"/>
      <c r="H64" s="95"/>
      <c r="I64" s="306"/>
      <c r="J64" s="307"/>
      <c r="K64" s="307"/>
      <c r="L64" s="308"/>
      <c r="M64" s="306"/>
      <c r="N64" s="307"/>
      <c r="O64" s="307"/>
      <c r="P64" s="308"/>
      <c r="Q64" s="306"/>
      <c r="R64" s="307"/>
      <c r="S64" s="307"/>
      <c r="T64" s="308"/>
      <c r="U64" s="81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2:37" ht="19.899999999999999" customHeight="1" x14ac:dyDescent="0.3">
      <c r="B65" s="98" t="s">
        <v>168</v>
      </c>
      <c r="C65" s="104" t="s">
        <v>28</v>
      </c>
      <c r="D65" s="306"/>
      <c r="E65" s="307"/>
      <c r="F65" s="307"/>
      <c r="G65" s="307"/>
      <c r="H65" s="95"/>
      <c r="I65" s="306"/>
      <c r="J65" s="307"/>
      <c r="K65" s="307"/>
      <c r="L65" s="308"/>
      <c r="M65" s="306"/>
      <c r="N65" s="307"/>
      <c r="O65" s="307"/>
      <c r="P65" s="308"/>
      <c r="Q65" s="306"/>
      <c r="R65" s="307"/>
      <c r="S65" s="307"/>
      <c r="T65" s="308"/>
      <c r="U65" s="81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2:37" ht="19.899999999999999" customHeight="1" x14ac:dyDescent="0.3">
      <c r="B66" s="99" t="s">
        <v>169</v>
      </c>
      <c r="C66" s="105" t="s">
        <v>26</v>
      </c>
      <c r="D66" s="306"/>
      <c r="E66" s="307"/>
      <c r="F66" s="307"/>
      <c r="G66" s="307"/>
      <c r="H66" s="95"/>
      <c r="I66" s="306"/>
      <c r="J66" s="307"/>
      <c r="K66" s="307"/>
      <c r="L66" s="308"/>
      <c r="M66" s="306"/>
      <c r="N66" s="307"/>
      <c r="O66" s="307"/>
      <c r="P66" s="308"/>
      <c r="Q66" s="306"/>
      <c r="R66" s="307"/>
      <c r="S66" s="307"/>
      <c r="T66" s="308"/>
      <c r="U66" s="81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2:37" ht="19.899999999999999" customHeight="1" x14ac:dyDescent="0.3">
      <c r="B67" s="100" t="s">
        <v>170</v>
      </c>
      <c r="C67" s="106" t="s">
        <v>24</v>
      </c>
      <c r="D67" s="306"/>
      <c r="E67" s="307"/>
      <c r="F67" s="307"/>
      <c r="G67" s="307"/>
      <c r="H67" s="95"/>
      <c r="I67" s="306"/>
      <c r="J67" s="307"/>
      <c r="K67" s="307"/>
      <c r="L67" s="308"/>
      <c r="M67" s="306"/>
      <c r="N67" s="307"/>
      <c r="O67" s="307"/>
      <c r="P67" s="308"/>
      <c r="Q67" s="306"/>
      <c r="R67" s="307"/>
      <c r="S67" s="307"/>
      <c r="T67" s="308"/>
      <c r="U67" s="81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2:37" ht="19.899999999999999" customHeight="1" thickBot="1" x14ac:dyDescent="0.35">
      <c r="B68" s="100" t="s">
        <v>171</v>
      </c>
      <c r="C68" s="106" t="s">
        <v>24</v>
      </c>
      <c r="D68" s="312"/>
      <c r="E68" s="313"/>
      <c r="F68" s="313"/>
      <c r="G68" s="313"/>
      <c r="H68" s="113"/>
      <c r="I68" s="312"/>
      <c r="J68" s="313"/>
      <c r="K68" s="313"/>
      <c r="L68" s="317"/>
      <c r="M68" s="312"/>
      <c r="N68" s="313"/>
      <c r="O68" s="313"/>
      <c r="P68" s="317"/>
      <c r="Q68" s="312"/>
      <c r="R68" s="313"/>
      <c r="S68" s="313"/>
      <c r="T68" s="317"/>
      <c r="U68" s="81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2:37" ht="19.899999999999999" customHeight="1" x14ac:dyDescent="0.3">
      <c r="B69" s="71"/>
      <c r="C69" s="71"/>
      <c r="D69" s="6" t="str">
        <f ca="1">IF(OR(NOT(ISNUMBER(D45)),D45&lt;Job1_StartDate),"",IF(MID(Job1_Pattern,MOD(D45-Job1_StartDate,LEN(Job1_Pattern))+1,1)=Job1_Shift1_Code,1,IF(MID(Job1_Pattern,MOD(D45-Job1_StartDate,LEN(Job1_Pattern))+1,1)=Job1_Shift2_Code,2,IF(MID(Job1_Pattern,MOD(D45-Job1_StartDate,LEN(Job1_Pattern))+1,1)=Job1_Shift3_Code,3,""))))</f>
        <v/>
      </c>
      <c r="E69" s="6" t="str">
        <f ca="1">IF(OR(NOT(ISNUMBER(E45)),E45&lt;Job1_StartDate),"",IF(MID(Job1_Pattern,MOD(E45-Job1_StartDate,LEN(Job1_Pattern))+1,1)=Job1_Shift1_Code,1,IF(MID(Job1_Pattern,MOD(E45-Job1_StartDate,LEN(Job1_Pattern))+1,1)=Job1_Shift2_Code,2,IF(MID(Job1_Pattern,MOD(E45-Job1_StartDate,LEN(Job1_Pattern))+1,1)=Job1_Shift3_Code,3,""))))</f>
        <v/>
      </c>
      <c r="F69" s="6" t="str">
        <f ca="1">IF(OR(NOT(ISNUMBER(F45)),F45&lt;Job1_StartDate),"",IF(MID(Job1_Pattern,MOD(F45-Job1_StartDate,LEN(Job1_Pattern))+1,1)=Job1_Shift1_Code,1,IF(MID(Job1_Pattern,MOD(F45-Job1_StartDate,LEN(Job1_Pattern))+1,1)=Job1_Shift2_Code,2,IF(MID(Job1_Pattern,MOD(F45-Job1_StartDate,LEN(Job1_Pattern))+1,1)=Job1_Shift3_Code,3,""))))</f>
        <v/>
      </c>
      <c r="G69" s="6" t="str">
        <f ca="1">IF(OR(NOT(ISNUMBER(G45)),G45&lt;Job1_StartDate),"",IF(MID(Job1_Pattern,MOD(G45-Job1_StartDate,LEN(Job1_Pattern))+1,1)=Job1_Shift1_Code,1,IF(MID(Job1_Pattern,MOD(G45-Job1_StartDate,LEN(Job1_Pattern))+1,1)=Job1_Shift2_Code,2,IF(MID(Job1_Pattern,MOD(G45-Job1_StartDate,LEN(Job1_Pattern))+1,1)=Job1_Shift3_Code,3,""))))</f>
        <v/>
      </c>
      <c r="H69" s="6">
        <v>55</v>
      </c>
      <c r="I69" s="6" t="str">
        <f t="shared" ref="I69:AK69" ca="1" si="0">IF(OR(NOT(ISNUMBER(I45)),I45&lt;Job1_StartDate),"",IF(MID(Job1_Pattern,MOD(I45-Job1_StartDate,LEN(Job1_Pattern))+1,1)=Job1_Shift1_Code,1,IF(MID(Job1_Pattern,MOD(I45-Job1_StartDate,LEN(Job1_Pattern))+1,1)=Job1_Shift2_Code,2,IF(MID(Job1_Pattern,MOD(I45-Job1_StartDate,LEN(Job1_Pattern))+1,1)=Job1_Shift3_Code,3,""))))</f>
        <v/>
      </c>
      <c r="J69" s="6" t="str">
        <f t="shared" ca="1" si="0"/>
        <v/>
      </c>
      <c r="K69" s="6" t="str">
        <f t="shared" ca="1" si="0"/>
        <v/>
      </c>
      <c r="L69" s="6" t="str">
        <f t="shared" ca="1" si="0"/>
        <v/>
      </c>
      <c r="M69" s="6" t="str">
        <f t="shared" ca="1" si="0"/>
        <v/>
      </c>
      <c r="N69" s="6" t="str">
        <f t="shared" ca="1" si="0"/>
        <v/>
      </c>
      <c r="O69" s="6" t="str">
        <f t="shared" ca="1" si="0"/>
        <v/>
      </c>
      <c r="P69" s="6" t="str">
        <f t="shared" ca="1" si="0"/>
        <v/>
      </c>
      <c r="Q69" s="6" t="str">
        <f t="shared" ca="1" si="0"/>
        <v/>
      </c>
      <c r="R69" s="6" t="str">
        <f t="shared" ca="1" si="0"/>
        <v/>
      </c>
      <c r="S69" s="6" t="str">
        <f t="shared" ca="1" si="0"/>
        <v/>
      </c>
      <c r="T69" s="6" t="str">
        <f t="shared" ca="1" si="0"/>
        <v/>
      </c>
      <c r="U69" s="6" t="str">
        <f t="shared" ca="1" si="0"/>
        <v/>
      </c>
      <c r="V69" s="6" t="str">
        <f t="shared" ca="1" si="0"/>
        <v/>
      </c>
      <c r="W69" s="6" t="str">
        <f t="shared" ca="1" si="0"/>
        <v/>
      </c>
      <c r="X69" s="6" t="str">
        <f t="shared" ca="1" si="0"/>
        <v/>
      </c>
      <c r="Y69" s="6" t="str">
        <f t="shared" ca="1" si="0"/>
        <v/>
      </c>
      <c r="Z69" s="6" t="str">
        <f t="shared" ca="1" si="0"/>
        <v/>
      </c>
      <c r="AA69" s="6" t="str">
        <f t="shared" ca="1" si="0"/>
        <v/>
      </c>
      <c r="AB69" s="6" t="str">
        <f t="shared" ca="1" si="0"/>
        <v/>
      </c>
      <c r="AC69" s="6" t="str">
        <f t="shared" ca="1" si="0"/>
        <v/>
      </c>
      <c r="AD69" s="6" t="str">
        <f t="shared" ca="1" si="0"/>
        <v/>
      </c>
      <c r="AE69" s="6" t="str">
        <f t="shared" ca="1" si="0"/>
        <v/>
      </c>
      <c r="AF69" s="6" t="str">
        <f t="shared" ca="1" si="0"/>
        <v/>
      </c>
      <c r="AG69" s="6" t="str">
        <f t="shared" ca="1" si="0"/>
        <v/>
      </c>
      <c r="AH69" s="6" t="str">
        <f t="shared" ca="1" si="0"/>
        <v/>
      </c>
      <c r="AI69" s="6" t="str">
        <f t="shared" ca="1" si="0"/>
        <v/>
      </c>
      <c r="AJ69" s="6" t="str">
        <f t="shared" ca="1" si="0"/>
        <v/>
      </c>
      <c r="AK69" s="6" t="str">
        <f t="shared" ca="1" si="0"/>
        <v/>
      </c>
    </row>
    <row r="70" spans="2:37" ht="19.899999999999999" customHeight="1" x14ac:dyDescent="0.3">
      <c r="B70" s="72"/>
      <c r="C70" s="72"/>
      <c r="D70" s="7" t="str">
        <f t="shared" ref="D70:AK70" ca="1" si="1">IF(OR(NOT(ISNUMBER(D45)),D45&lt;Job2_StartDate),"",IF(MID(Job2_Pattern,MOD(D45-Job2_StartDate,LEN(Job2_Pattern))+1,1)=Job2_Shift1_Code,1,IF(MID(Job2_Pattern,MOD(D45-Job2_StartDate,LEN(Job2_Pattern))+1,1)=Job2_Shift2_Code,2,IF(MID(Job2_Pattern,MOD(D45-Job2_StartDate,LEN(Job2_Pattern))+1,1)=Job2_Shift3_Code,3,""))))</f>
        <v/>
      </c>
      <c r="E70" s="7" t="str">
        <f t="shared" ca="1" si="1"/>
        <v/>
      </c>
      <c r="F70" s="7" t="str">
        <f t="shared" ca="1" si="1"/>
        <v/>
      </c>
      <c r="G70" s="7" t="str">
        <f t="shared" ca="1" si="1"/>
        <v/>
      </c>
      <c r="H70" s="7" t="str">
        <f t="shared" ca="1" si="1"/>
        <v/>
      </c>
      <c r="I70" s="7" t="str">
        <f t="shared" ca="1" si="1"/>
        <v/>
      </c>
      <c r="J70" s="7" t="str">
        <f t="shared" ca="1" si="1"/>
        <v/>
      </c>
      <c r="K70" s="7" t="str">
        <f t="shared" ca="1" si="1"/>
        <v/>
      </c>
      <c r="L70" s="7" t="str">
        <f t="shared" ca="1" si="1"/>
        <v/>
      </c>
      <c r="M70" s="7" t="str">
        <f t="shared" ca="1" si="1"/>
        <v/>
      </c>
      <c r="N70" s="7" t="str">
        <f t="shared" ca="1" si="1"/>
        <v/>
      </c>
      <c r="O70" s="7" t="str">
        <f t="shared" ca="1" si="1"/>
        <v/>
      </c>
      <c r="P70" s="7" t="str">
        <f t="shared" ca="1" si="1"/>
        <v/>
      </c>
      <c r="Q70" s="7" t="str">
        <f t="shared" ca="1" si="1"/>
        <v/>
      </c>
      <c r="R70" s="7" t="str">
        <f t="shared" ca="1" si="1"/>
        <v/>
      </c>
      <c r="S70" s="7" t="str">
        <f t="shared" ca="1" si="1"/>
        <v/>
      </c>
      <c r="T70" s="7" t="str">
        <f t="shared" ca="1" si="1"/>
        <v/>
      </c>
      <c r="U70" s="7" t="str">
        <f t="shared" ca="1" si="1"/>
        <v/>
      </c>
      <c r="V70" s="7" t="str">
        <f t="shared" ca="1" si="1"/>
        <v/>
      </c>
      <c r="W70" s="7" t="str">
        <f t="shared" ca="1" si="1"/>
        <v/>
      </c>
      <c r="X70" s="7" t="str">
        <f t="shared" ca="1" si="1"/>
        <v/>
      </c>
      <c r="Y70" s="7" t="str">
        <f t="shared" ca="1" si="1"/>
        <v/>
      </c>
      <c r="Z70" s="7" t="str">
        <f t="shared" ca="1" si="1"/>
        <v/>
      </c>
      <c r="AA70" s="7" t="str">
        <f t="shared" ca="1" si="1"/>
        <v/>
      </c>
      <c r="AB70" s="7" t="str">
        <f t="shared" ca="1" si="1"/>
        <v/>
      </c>
      <c r="AC70" s="7" t="str">
        <f t="shared" ca="1" si="1"/>
        <v/>
      </c>
      <c r="AD70" s="7" t="str">
        <f t="shared" ca="1" si="1"/>
        <v/>
      </c>
      <c r="AE70" s="7" t="str">
        <f t="shared" ca="1" si="1"/>
        <v/>
      </c>
      <c r="AF70" s="7" t="str">
        <f t="shared" ca="1" si="1"/>
        <v/>
      </c>
      <c r="AG70" s="7" t="str">
        <f t="shared" ca="1" si="1"/>
        <v/>
      </c>
      <c r="AH70" s="7" t="str">
        <f t="shared" ca="1" si="1"/>
        <v/>
      </c>
      <c r="AI70" s="7" t="str">
        <f t="shared" ca="1" si="1"/>
        <v/>
      </c>
      <c r="AJ70" s="7" t="str">
        <f t="shared" ca="1" si="1"/>
        <v/>
      </c>
      <c r="AK70" s="7" t="str">
        <f t="shared" ca="1" si="1"/>
        <v/>
      </c>
    </row>
    <row r="71" spans="2:37" ht="19.899999999999999" customHeight="1" x14ac:dyDescent="0.3">
      <c r="B71" s="73"/>
      <c r="C71" s="73"/>
      <c r="D71" s="7" t="str">
        <f t="shared" ref="D71:AK71" ca="1" si="2">IF(OR(NOT(ISNUMBER(D45)),D45&lt;Job3_StartDate),"",IF(MID(Job3_Pattern,MOD(D45-Job3_StartDate,LEN(Job3_Pattern))+1,1)=Job3_Shift1_Code,1,IF(MID(Job3_Pattern,MOD(D45-Job3_StartDate,LEN(Job3_Pattern))+1,1)=Job3_Shift2_Code,2,IF(MID(Job3_Pattern,MOD(D45-Job3_StartDate,LEN(Job3_Pattern))+1,1)=Job3_Shift3_Code,3,""))))</f>
        <v/>
      </c>
      <c r="E71" s="7" t="str">
        <f t="shared" ca="1" si="2"/>
        <v/>
      </c>
      <c r="F71" s="7" t="str">
        <f t="shared" ca="1" si="2"/>
        <v/>
      </c>
      <c r="G71" s="7" t="str">
        <f t="shared" ca="1" si="2"/>
        <v/>
      </c>
      <c r="H71" s="7" t="str">
        <f t="shared" ca="1" si="2"/>
        <v/>
      </c>
      <c r="I71" s="7" t="str">
        <f t="shared" ca="1" si="2"/>
        <v/>
      </c>
      <c r="J71" s="7" t="str">
        <f t="shared" ca="1" si="2"/>
        <v/>
      </c>
      <c r="K71" s="7" t="str">
        <f t="shared" ca="1" si="2"/>
        <v/>
      </c>
      <c r="L71" s="7" t="str">
        <f t="shared" ca="1" si="2"/>
        <v/>
      </c>
      <c r="M71" s="7" t="str">
        <f t="shared" ca="1" si="2"/>
        <v/>
      </c>
      <c r="N71" s="7" t="str">
        <f t="shared" ca="1" si="2"/>
        <v/>
      </c>
      <c r="O71" s="7" t="str">
        <f t="shared" ca="1" si="2"/>
        <v/>
      </c>
      <c r="P71" s="7" t="str">
        <f t="shared" ca="1" si="2"/>
        <v/>
      </c>
      <c r="Q71" s="7" t="str">
        <f t="shared" ca="1" si="2"/>
        <v/>
      </c>
      <c r="R71" s="7" t="str">
        <f t="shared" ca="1" si="2"/>
        <v/>
      </c>
      <c r="S71" s="7" t="str">
        <f t="shared" ca="1" si="2"/>
        <v/>
      </c>
      <c r="T71" s="7" t="str">
        <f t="shared" ca="1" si="2"/>
        <v/>
      </c>
      <c r="U71" s="7" t="str">
        <f t="shared" ca="1" si="2"/>
        <v/>
      </c>
      <c r="V71" s="7" t="str">
        <f t="shared" ca="1" si="2"/>
        <v/>
      </c>
      <c r="W71" s="7" t="str">
        <f t="shared" ca="1" si="2"/>
        <v/>
      </c>
      <c r="X71" s="7" t="str">
        <f t="shared" ca="1" si="2"/>
        <v/>
      </c>
      <c r="Y71" s="7" t="str">
        <f t="shared" ca="1" si="2"/>
        <v/>
      </c>
      <c r="Z71" s="7" t="str">
        <f t="shared" ca="1" si="2"/>
        <v/>
      </c>
      <c r="AA71" s="7" t="str">
        <f t="shared" ca="1" si="2"/>
        <v/>
      </c>
      <c r="AB71" s="7" t="str">
        <f t="shared" ca="1" si="2"/>
        <v/>
      </c>
      <c r="AC71" s="7" t="str">
        <f t="shared" ca="1" si="2"/>
        <v/>
      </c>
      <c r="AD71" s="7" t="str">
        <f t="shared" ca="1" si="2"/>
        <v/>
      </c>
      <c r="AE71" s="7" t="str">
        <f t="shared" ca="1" si="2"/>
        <v/>
      </c>
      <c r="AF71" s="7" t="str">
        <f t="shared" ca="1" si="2"/>
        <v/>
      </c>
      <c r="AG71" s="7" t="str">
        <f t="shared" ca="1" si="2"/>
        <v/>
      </c>
      <c r="AH71" s="7" t="str">
        <f t="shared" ca="1" si="2"/>
        <v/>
      </c>
      <c r="AI71" s="7" t="str">
        <f t="shared" ca="1" si="2"/>
        <v/>
      </c>
      <c r="AJ71" s="7" t="str">
        <f t="shared" ca="1" si="2"/>
        <v/>
      </c>
      <c r="AK71" s="7" t="str">
        <f t="shared" ca="1" si="2"/>
        <v/>
      </c>
    </row>
    <row r="72" spans="2:37" ht="19.899999999999999" customHeight="1" thickBot="1" x14ac:dyDescent="0.35">
      <c r="B72" s="74"/>
      <c r="C72" s="74"/>
    </row>
    <row r="73" spans="2:37" s="75" customFormat="1" ht="19.899999999999999" customHeight="1" x14ac:dyDescent="0.3">
      <c r="B73" s="211">
        <f ca="1">DATE(CalendarYear,4,1)</f>
        <v>46113</v>
      </c>
      <c r="C73" s="296" t="s">
        <v>17</v>
      </c>
      <c r="D73" s="213" t="s">
        <v>5</v>
      </c>
      <c r="E73" s="214"/>
      <c r="F73" s="214"/>
      <c r="G73" s="214"/>
      <c r="H73" s="215"/>
      <c r="I73" s="213" t="s">
        <v>6</v>
      </c>
      <c r="J73" s="214"/>
      <c r="K73" s="214"/>
      <c r="L73" s="215"/>
      <c r="M73" s="213" t="s">
        <v>7</v>
      </c>
      <c r="N73" s="214"/>
      <c r="O73" s="214"/>
      <c r="P73" s="215"/>
      <c r="Q73" s="213" t="s">
        <v>8</v>
      </c>
      <c r="R73" s="214"/>
      <c r="S73" s="214"/>
      <c r="T73" s="215"/>
      <c r="U73" s="213" t="s">
        <v>39</v>
      </c>
      <c r="V73" s="214"/>
      <c r="W73" s="214"/>
      <c r="X73" s="215"/>
      <c r="Y73" s="8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1"/>
    </row>
    <row r="74" spans="2:37" s="75" customFormat="1" ht="19.899999999999999" customHeight="1" x14ac:dyDescent="0.3">
      <c r="B74" s="212"/>
      <c r="C74" s="297"/>
      <c r="D74" s="318" t="s">
        <v>40</v>
      </c>
      <c r="E74" s="319"/>
      <c r="F74" s="319"/>
      <c r="G74" s="320"/>
      <c r="H74" s="112"/>
      <c r="I74" s="318" t="s">
        <v>41</v>
      </c>
      <c r="J74" s="319"/>
      <c r="K74" s="319"/>
      <c r="L74" s="321"/>
      <c r="M74" s="318" t="s">
        <v>42</v>
      </c>
      <c r="N74" s="319"/>
      <c r="O74" s="319"/>
      <c r="P74" s="321"/>
      <c r="Q74" s="318" t="s">
        <v>172</v>
      </c>
      <c r="R74" s="319"/>
      <c r="S74" s="319"/>
      <c r="T74" s="321"/>
      <c r="U74" s="322" t="s">
        <v>173</v>
      </c>
      <c r="V74" s="226"/>
      <c r="W74" s="226"/>
      <c r="X74" s="323"/>
      <c r="Y74" s="79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2"/>
    </row>
    <row r="75" spans="2:37" ht="19.899999999999999" customHeight="1" x14ac:dyDescent="0.3">
      <c r="B75" s="83" t="s">
        <v>21</v>
      </c>
      <c r="C75" s="101" t="s">
        <v>22</v>
      </c>
      <c r="D75" s="306"/>
      <c r="E75" s="307"/>
      <c r="F75" s="307"/>
      <c r="G75" s="307"/>
      <c r="H75" s="96"/>
      <c r="I75" s="306"/>
      <c r="J75" s="307"/>
      <c r="K75" s="307"/>
      <c r="L75" s="308"/>
      <c r="M75" s="306"/>
      <c r="N75" s="307"/>
      <c r="O75" s="307"/>
      <c r="P75" s="308"/>
      <c r="Q75" s="306"/>
      <c r="R75" s="307"/>
      <c r="S75" s="307"/>
      <c r="T75" s="308"/>
      <c r="U75" s="306"/>
      <c r="V75" s="307"/>
      <c r="W75" s="307"/>
      <c r="X75" s="308"/>
      <c r="Y75" s="8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spans="2:37" ht="19.899999999999999" customHeight="1" x14ac:dyDescent="0.3">
      <c r="B76" s="84" t="s">
        <v>23</v>
      </c>
      <c r="C76" s="102" t="s">
        <v>24</v>
      </c>
      <c r="D76" s="306"/>
      <c r="E76" s="307"/>
      <c r="F76" s="307"/>
      <c r="G76" s="307"/>
      <c r="H76" s="96"/>
      <c r="I76" s="306"/>
      <c r="J76" s="307"/>
      <c r="K76" s="307"/>
      <c r="L76" s="308"/>
      <c r="M76" s="306"/>
      <c r="N76" s="307"/>
      <c r="O76" s="307"/>
      <c r="P76" s="308"/>
      <c r="Q76" s="306"/>
      <c r="R76" s="307"/>
      <c r="S76" s="307"/>
      <c r="T76" s="308"/>
      <c r="U76" s="306"/>
      <c r="V76" s="307"/>
      <c r="W76" s="307"/>
      <c r="X76" s="308"/>
      <c r="Y76" s="81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2:37" ht="19.899999999999999" customHeight="1" x14ac:dyDescent="0.3">
      <c r="B77" s="84" t="s">
        <v>25</v>
      </c>
      <c r="C77" s="102" t="s">
        <v>26</v>
      </c>
      <c r="D77" s="306"/>
      <c r="E77" s="307"/>
      <c r="F77" s="307"/>
      <c r="G77" s="307"/>
      <c r="H77" s="96"/>
      <c r="I77" s="306"/>
      <c r="J77" s="307"/>
      <c r="K77" s="307"/>
      <c r="L77" s="308"/>
      <c r="M77" s="306"/>
      <c r="N77" s="307"/>
      <c r="O77" s="307"/>
      <c r="P77" s="308"/>
      <c r="Q77" s="306"/>
      <c r="R77" s="307"/>
      <c r="S77" s="307"/>
      <c r="T77" s="308"/>
      <c r="U77" s="306"/>
      <c r="V77" s="307"/>
      <c r="W77" s="307"/>
      <c r="X77" s="308"/>
      <c r="Y77" s="81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2:37" ht="19.899999999999999" customHeight="1" x14ac:dyDescent="0.3">
      <c r="B78" s="84" t="s">
        <v>27</v>
      </c>
      <c r="C78" s="102" t="s">
        <v>28</v>
      </c>
      <c r="D78" s="306"/>
      <c r="E78" s="307"/>
      <c r="F78" s="307"/>
      <c r="G78" s="307"/>
      <c r="H78" s="96"/>
      <c r="I78" s="306"/>
      <c r="J78" s="307"/>
      <c r="K78" s="307"/>
      <c r="L78" s="308"/>
      <c r="M78" s="306"/>
      <c r="N78" s="307"/>
      <c r="O78" s="307"/>
      <c r="P78" s="308"/>
      <c r="Q78" s="306"/>
      <c r="R78" s="307"/>
      <c r="S78" s="307"/>
      <c r="T78" s="308"/>
      <c r="U78" s="306"/>
      <c r="V78" s="307"/>
      <c r="W78" s="307"/>
      <c r="X78" s="308"/>
      <c r="Y78" s="81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2:37" ht="19.899999999999999" customHeight="1" x14ac:dyDescent="0.3">
      <c r="B79" s="84" t="s">
        <v>29</v>
      </c>
      <c r="C79" s="102" t="s">
        <v>30</v>
      </c>
      <c r="D79" s="306"/>
      <c r="E79" s="307"/>
      <c r="F79" s="307"/>
      <c r="G79" s="307"/>
      <c r="H79" s="96"/>
      <c r="I79" s="306"/>
      <c r="J79" s="307"/>
      <c r="K79" s="307"/>
      <c r="L79" s="308"/>
      <c r="M79" s="306"/>
      <c r="N79" s="307"/>
      <c r="O79" s="307"/>
      <c r="P79" s="308"/>
      <c r="Q79" s="306"/>
      <c r="R79" s="307"/>
      <c r="S79" s="307"/>
      <c r="T79" s="308"/>
      <c r="U79" s="306"/>
      <c r="V79" s="307"/>
      <c r="W79" s="307"/>
      <c r="X79" s="308"/>
      <c r="Y79" s="81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2:37" ht="19.899999999999999" customHeight="1" x14ac:dyDescent="0.3">
      <c r="B80" s="84" t="s">
        <v>31</v>
      </c>
      <c r="C80" s="102" t="s">
        <v>30</v>
      </c>
      <c r="D80" s="306"/>
      <c r="E80" s="307"/>
      <c r="F80" s="307"/>
      <c r="G80" s="307"/>
      <c r="H80" s="96"/>
      <c r="I80" s="306"/>
      <c r="J80" s="307"/>
      <c r="K80" s="307"/>
      <c r="L80" s="308"/>
      <c r="M80" s="306"/>
      <c r="N80" s="307"/>
      <c r="O80" s="307"/>
      <c r="P80" s="308"/>
      <c r="Q80" s="306"/>
      <c r="R80" s="307"/>
      <c r="S80" s="307"/>
      <c r="T80" s="308"/>
      <c r="U80" s="306"/>
      <c r="V80" s="307"/>
      <c r="W80" s="307"/>
      <c r="X80" s="308"/>
      <c r="Y80" s="81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2:37" ht="19.899999999999999" customHeight="1" x14ac:dyDescent="0.3">
      <c r="B81" s="85" t="s">
        <v>32</v>
      </c>
      <c r="C81" s="102" t="s">
        <v>30</v>
      </c>
      <c r="D81" s="306"/>
      <c r="E81" s="307"/>
      <c r="F81" s="307"/>
      <c r="G81" s="307"/>
      <c r="H81" s="96"/>
      <c r="I81" s="306"/>
      <c r="J81" s="307"/>
      <c r="K81" s="307"/>
      <c r="L81" s="308"/>
      <c r="M81" s="306"/>
      <c r="N81" s="307"/>
      <c r="O81" s="307"/>
      <c r="P81" s="308"/>
      <c r="Q81" s="306"/>
      <c r="R81" s="307"/>
      <c r="S81" s="307"/>
      <c r="T81" s="308"/>
      <c r="U81" s="306"/>
      <c r="V81" s="307"/>
      <c r="W81" s="307"/>
      <c r="X81" s="308"/>
      <c r="Y81" s="81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2:37" ht="19.899999999999999" customHeight="1" x14ac:dyDescent="0.3">
      <c r="B82" s="97" t="s">
        <v>157</v>
      </c>
      <c r="C82" s="103" t="s">
        <v>22</v>
      </c>
      <c r="D82" s="306"/>
      <c r="E82" s="307"/>
      <c r="F82" s="307"/>
      <c r="G82" s="307"/>
      <c r="H82" s="95"/>
      <c r="I82" s="306"/>
      <c r="J82" s="307"/>
      <c r="K82" s="307"/>
      <c r="L82" s="308"/>
      <c r="M82" s="306"/>
      <c r="N82" s="307"/>
      <c r="O82" s="307"/>
      <c r="P82" s="308"/>
      <c r="Q82" s="306"/>
      <c r="R82" s="307"/>
      <c r="S82" s="307"/>
      <c r="T82" s="308"/>
      <c r="U82" s="306"/>
      <c r="V82" s="307"/>
      <c r="W82" s="307"/>
      <c r="X82" s="308"/>
      <c r="Y82" s="81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2:37" ht="19.899999999999999" customHeight="1" x14ac:dyDescent="0.3">
      <c r="B83" s="97" t="s">
        <v>158</v>
      </c>
      <c r="C83" s="103" t="s">
        <v>22</v>
      </c>
      <c r="D83" s="306"/>
      <c r="E83" s="307"/>
      <c r="F83" s="307"/>
      <c r="G83" s="307"/>
      <c r="H83" s="96"/>
      <c r="I83" s="306"/>
      <c r="J83" s="307"/>
      <c r="K83" s="307"/>
      <c r="L83" s="308"/>
      <c r="M83" s="306"/>
      <c r="N83" s="307"/>
      <c r="O83" s="307"/>
      <c r="P83" s="308"/>
      <c r="Q83" s="306"/>
      <c r="R83" s="307"/>
      <c r="S83" s="307"/>
      <c r="T83" s="308"/>
      <c r="U83" s="306"/>
      <c r="V83" s="307"/>
      <c r="W83" s="307"/>
      <c r="X83" s="308"/>
      <c r="Y83" s="81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2:37" ht="19.899999999999999" customHeight="1" x14ac:dyDescent="0.3">
      <c r="B84" s="97" t="s">
        <v>159</v>
      </c>
      <c r="C84" s="103" t="s">
        <v>22</v>
      </c>
      <c r="D84" s="306"/>
      <c r="E84" s="307"/>
      <c r="F84" s="307"/>
      <c r="G84" s="307"/>
      <c r="H84" s="95"/>
      <c r="I84" s="306"/>
      <c r="J84" s="307"/>
      <c r="K84" s="307"/>
      <c r="L84" s="308"/>
      <c r="M84" s="306"/>
      <c r="N84" s="307"/>
      <c r="O84" s="307"/>
      <c r="P84" s="308"/>
      <c r="Q84" s="306"/>
      <c r="R84" s="307"/>
      <c r="S84" s="307"/>
      <c r="T84" s="308"/>
      <c r="U84" s="306"/>
      <c r="V84" s="307"/>
      <c r="W84" s="307"/>
      <c r="X84" s="308"/>
      <c r="Y84" s="81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2:37" ht="19.899999999999999" customHeight="1" x14ac:dyDescent="0.3">
      <c r="B85" s="97" t="s">
        <v>160</v>
      </c>
      <c r="C85" s="103" t="s">
        <v>22</v>
      </c>
      <c r="D85" s="306"/>
      <c r="E85" s="307"/>
      <c r="F85" s="307"/>
      <c r="G85" s="307"/>
      <c r="H85" s="95"/>
      <c r="I85" s="306"/>
      <c r="J85" s="307"/>
      <c r="K85" s="307"/>
      <c r="L85" s="308"/>
      <c r="M85" s="306"/>
      <c r="N85" s="307"/>
      <c r="O85" s="307"/>
      <c r="P85" s="308"/>
      <c r="Q85" s="306"/>
      <c r="R85" s="307"/>
      <c r="S85" s="307"/>
      <c r="T85" s="308"/>
      <c r="U85" s="306"/>
      <c r="V85" s="307"/>
      <c r="W85" s="307"/>
      <c r="X85" s="308"/>
      <c r="Y85" s="81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2:37" ht="19.899999999999999" customHeight="1" x14ac:dyDescent="0.3">
      <c r="B86" s="97" t="s">
        <v>161</v>
      </c>
      <c r="C86" s="103" t="s">
        <v>22</v>
      </c>
      <c r="D86" s="306"/>
      <c r="E86" s="307"/>
      <c r="F86" s="307"/>
      <c r="G86" s="307"/>
      <c r="H86" s="95"/>
      <c r="I86" s="306"/>
      <c r="J86" s="307"/>
      <c r="K86" s="307"/>
      <c r="L86" s="308"/>
      <c r="M86" s="306"/>
      <c r="N86" s="307"/>
      <c r="O86" s="307"/>
      <c r="P86" s="308"/>
      <c r="Q86" s="306"/>
      <c r="R86" s="307"/>
      <c r="S86" s="307"/>
      <c r="T86" s="308"/>
      <c r="U86" s="306"/>
      <c r="V86" s="307"/>
      <c r="W86" s="307"/>
      <c r="X86" s="308"/>
      <c r="Y86" s="81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2:37" ht="19.899999999999999" customHeight="1" x14ac:dyDescent="0.3">
      <c r="B87" s="97" t="s">
        <v>162</v>
      </c>
      <c r="C87" s="103" t="s">
        <v>22</v>
      </c>
      <c r="D87" s="306"/>
      <c r="E87" s="307"/>
      <c r="F87" s="307"/>
      <c r="G87" s="307"/>
      <c r="H87" s="96"/>
      <c r="I87" s="306"/>
      <c r="J87" s="307"/>
      <c r="K87" s="307"/>
      <c r="L87" s="308"/>
      <c r="M87" s="306"/>
      <c r="N87" s="307"/>
      <c r="O87" s="307"/>
      <c r="P87" s="308"/>
      <c r="Q87" s="306"/>
      <c r="R87" s="307"/>
      <c r="S87" s="307"/>
      <c r="T87" s="308"/>
      <c r="U87" s="306"/>
      <c r="V87" s="307"/>
      <c r="W87" s="307"/>
      <c r="X87" s="308"/>
      <c r="Y87" s="81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2:37" ht="19.899999999999999" customHeight="1" x14ac:dyDescent="0.3">
      <c r="B88" s="97" t="s">
        <v>163</v>
      </c>
      <c r="C88" s="103" t="s">
        <v>22</v>
      </c>
      <c r="D88" s="306"/>
      <c r="E88" s="307"/>
      <c r="F88" s="307"/>
      <c r="G88" s="307"/>
      <c r="H88" s="95"/>
      <c r="I88" s="306"/>
      <c r="J88" s="307"/>
      <c r="K88" s="307"/>
      <c r="L88" s="308"/>
      <c r="M88" s="306"/>
      <c r="N88" s="307"/>
      <c r="O88" s="307"/>
      <c r="P88" s="308"/>
      <c r="Q88" s="306"/>
      <c r="R88" s="307"/>
      <c r="S88" s="307"/>
      <c r="T88" s="308"/>
      <c r="U88" s="306"/>
      <c r="V88" s="307"/>
      <c r="W88" s="307"/>
      <c r="X88" s="308"/>
      <c r="Y88" s="81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2:37" ht="19.899999999999999" customHeight="1" x14ac:dyDescent="0.3">
      <c r="B89" s="97" t="s">
        <v>164</v>
      </c>
      <c r="C89" s="103" t="s">
        <v>22</v>
      </c>
      <c r="D89" s="306"/>
      <c r="E89" s="307"/>
      <c r="F89" s="307"/>
      <c r="G89" s="307"/>
      <c r="H89" s="95"/>
      <c r="I89" s="306"/>
      <c r="J89" s="307"/>
      <c r="K89" s="307"/>
      <c r="L89" s="308"/>
      <c r="M89" s="306"/>
      <c r="N89" s="307"/>
      <c r="O89" s="307"/>
      <c r="P89" s="308"/>
      <c r="Q89" s="306"/>
      <c r="R89" s="307"/>
      <c r="S89" s="307"/>
      <c r="T89" s="308"/>
      <c r="U89" s="306"/>
      <c r="V89" s="307"/>
      <c r="W89" s="307"/>
      <c r="X89" s="308"/>
      <c r="Y89" s="81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2:37" ht="19.899999999999999" customHeight="1" x14ac:dyDescent="0.3">
      <c r="B90" s="98" t="s">
        <v>165</v>
      </c>
      <c r="C90" s="104" t="s">
        <v>28</v>
      </c>
      <c r="D90" s="306"/>
      <c r="E90" s="307"/>
      <c r="F90" s="307"/>
      <c r="G90" s="307"/>
      <c r="H90" s="95"/>
      <c r="I90" s="306"/>
      <c r="J90" s="307"/>
      <c r="K90" s="307"/>
      <c r="L90" s="308"/>
      <c r="M90" s="306"/>
      <c r="N90" s="307"/>
      <c r="O90" s="307"/>
      <c r="P90" s="308"/>
      <c r="Q90" s="306"/>
      <c r="R90" s="307"/>
      <c r="S90" s="307"/>
      <c r="T90" s="308"/>
      <c r="U90" s="306"/>
      <c r="V90" s="307"/>
      <c r="W90" s="307"/>
      <c r="X90" s="308"/>
      <c r="Y90" s="81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2:37" ht="19.899999999999999" customHeight="1" x14ac:dyDescent="0.3">
      <c r="B91" s="98" t="s">
        <v>166</v>
      </c>
      <c r="C91" s="104" t="s">
        <v>28</v>
      </c>
      <c r="D91" s="306"/>
      <c r="E91" s="307"/>
      <c r="F91" s="307"/>
      <c r="G91" s="307"/>
      <c r="H91" s="95"/>
      <c r="I91" s="306"/>
      <c r="J91" s="307"/>
      <c r="K91" s="307"/>
      <c r="L91" s="308"/>
      <c r="M91" s="306"/>
      <c r="N91" s="307"/>
      <c r="O91" s="307"/>
      <c r="P91" s="308"/>
      <c r="Q91" s="306"/>
      <c r="R91" s="307"/>
      <c r="S91" s="307"/>
      <c r="T91" s="308"/>
      <c r="U91" s="306"/>
      <c r="V91" s="307"/>
      <c r="W91" s="307"/>
      <c r="X91" s="308"/>
      <c r="Y91" s="81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2:37" ht="19.899999999999999" customHeight="1" x14ac:dyDescent="0.3">
      <c r="B92" s="98" t="s">
        <v>167</v>
      </c>
      <c r="C92" s="104" t="s">
        <v>28</v>
      </c>
      <c r="D92" s="306"/>
      <c r="E92" s="307"/>
      <c r="F92" s="307"/>
      <c r="G92" s="307"/>
      <c r="H92" s="95"/>
      <c r="I92" s="306"/>
      <c r="J92" s="307"/>
      <c r="K92" s="307"/>
      <c r="L92" s="308"/>
      <c r="M92" s="306"/>
      <c r="N92" s="307"/>
      <c r="O92" s="307"/>
      <c r="P92" s="308"/>
      <c r="Q92" s="306"/>
      <c r="R92" s="307"/>
      <c r="S92" s="307"/>
      <c r="T92" s="308"/>
      <c r="U92" s="306"/>
      <c r="V92" s="307"/>
      <c r="W92" s="307"/>
      <c r="X92" s="308"/>
      <c r="Y92" s="81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2:37" ht="19.899999999999999" customHeight="1" x14ac:dyDescent="0.3">
      <c r="B93" s="98" t="s">
        <v>168</v>
      </c>
      <c r="C93" s="104" t="s">
        <v>28</v>
      </c>
      <c r="D93" s="306"/>
      <c r="E93" s="307"/>
      <c r="F93" s="307"/>
      <c r="G93" s="307"/>
      <c r="H93" s="95"/>
      <c r="I93" s="306"/>
      <c r="J93" s="307"/>
      <c r="K93" s="307"/>
      <c r="L93" s="308"/>
      <c r="M93" s="306"/>
      <c r="N93" s="307"/>
      <c r="O93" s="307"/>
      <c r="P93" s="308"/>
      <c r="Q93" s="306"/>
      <c r="R93" s="307"/>
      <c r="S93" s="307"/>
      <c r="T93" s="308"/>
      <c r="U93" s="306"/>
      <c r="V93" s="307"/>
      <c r="W93" s="307"/>
      <c r="X93" s="308"/>
      <c r="Y93" s="81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2:37" ht="19.899999999999999" customHeight="1" x14ac:dyDescent="0.3">
      <c r="B94" s="99" t="s">
        <v>169</v>
      </c>
      <c r="C94" s="105" t="s">
        <v>26</v>
      </c>
      <c r="D94" s="306"/>
      <c r="E94" s="307"/>
      <c r="F94" s="307"/>
      <c r="G94" s="307"/>
      <c r="H94" s="95"/>
      <c r="I94" s="306"/>
      <c r="J94" s="307"/>
      <c r="K94" s="307"/>
      <c r="L94" s="308"/>
      <c r="M94" s="306"/>
      <c r="N94" s="307"/>
      <c r="O94" s="307"/>
      <c r="P94" s="308"/>
      <c r="Q94" s="306"/>
      <c r="R94" s="307"/>
      <c r="S94" s="307"/>
      <c r="T94" s="308"/>
      <c r="U94" s="306"/>
      <c r="V94" s="307"/>
      <c r="W94" s="307"/>
      <c r="X94" s="308"/>
      <c r="Y94" s="81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2:37" ht="19.899999999999999" customHeight="1" x14ac:dyDescent="0.3">
      <c r="B95" s="100" t="s">
        <v>170</v>
      </c>
      <c r="C95" s="106" t="s">
        <v>24</v>
      </c>
      <c r="D95" s="306"/>
      <c r="E95" s="307"/>
      <c r="F95" s="307"/>
      <c r="G95" s="307"/>
      <c r="H95" s="95"/>
      <c r="I95" s="306"/>
      <c r="J95" s="307"/>
      <c r="K95" s="307"/>
      <c r="L95" s="308"/>
      <c r="M95" s="306"/>
      <c r="N95" s="307"/>
      <c r="O95" s="307"/>
      <c r="P95" s="308"/>
      <c r="Q95" s="306"/>
      <c r="R95" s="307"/>
      <c r="S95" s="307"/>
      <c r="T95" s="308"/>
      <c r="U95" s="306"/>
      <c r="V95" s="307"/>
      <c r="W95" s="307"/>
      <c r="X95" s="308"/>
      <c r="Y95" s="81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2:37" ht="19.899999999999999" customHeight="1" thickBot="1" x14ac:dyDescent="0.35">
      <c r="B96" s="100" t="s">
        <v>171</v>
      </c>
      <c r="C96" s="106" t="s">
        <v>24</v>
      </c>
      <c r="D96" s="312"/>
      <c r="E96" s="313"/>
      <c r="F96" s="313"/>
      <c r="G96" s="313"/>
      <c r="H96" s="113"/>
      <c r="I96" s="312"/>
      <c r="J96" s="313"/>
      <c r="K96" s="313"/>
      <c r="L96" s="317"/>
      <c r="M96" s="312"/>
      <c r="N96" s="313"/>
      <c r="O96" s="313"/>
      <c r="P96" s="317"/>
      <c r="Q96" s="312"/>
      <c r="R96" s="313"/>
      <c r="S96" s="313"/>
      <c r="T96" s="317"/>
      <c r="U96" s="312"/>
      <c r="V96" s="313"/>
      <c r="W96" s="313"/>
      <c r="X96" s="317"/>
      <c r="Y96" s="81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2:37" ht="19.899999999999999" customHeight="1" x14ac:dyDescent="0.3">
      <c r="B97" s="71"/>
      <c r="C97" s="71"/>
      <c r="D97" s="6" t="str">
        <f t="shared" ref="D97:AK97" ca="1" si="3">IF(OR(NOT(ISNUMBER(D73)),D73&lt;Job1_StartDate),"",IF(MID(Job1_Pattern,MOD(D73-Job1_StartDate,LEN(Job1_Pattern))+1,1)=Job1_Shift1_Code,1,IF(MID(Job1_Pattern,MOD(D73-Job1_StartDate,LEN(Job1_Pattern))+1,1)=Job1_Shift2_Code,2,IF(MID(Job1_Pattern,MOD(D73-Job1_StartDate,LEN(Job1_Pattern))+1,1)=Job1_Shift3_Code,3,""))))</f>
        <v/>
      </c>
      <c r="E97" s="6" t="str">
        <f t="shared" ca="1" si="3"/>
        <v/>
      </c>
      <c r="F97" s="6" t="str">
        <f t="shared" ca="1" si="3"/>
        <v/>
      </c>
      <c r="G97" s="6" t="str">
        <f t="shared" ca="1" si="3"/>
        <v/>
      </c>
      <c r="H97" s="6" t="str">
        <f t="shared" ca="1" si="3"/>
        <v/>
      </c>
      <c r="I97" s="6" t="str">
        <f t="shared" ca="1" si="3"/>
        <v/>
      </c>
      <c r="J97" s="6" t="str">
        <f t="shared" ca="1" si="3"/>
        <v/>
      </c>
      <c r="K97" s="6" t="str">
        <f t="shared" ca="1" si="3"/>
        <v/>
      </c>
      <c r="L97" s="6" t="str">
        <f t="shared" ca="1" si="3"/>
        <v/>
      </c>
      <c r="M97" s="6" t="str">
        <f t="shared" ca="1" si="3"/>
        <v/>
      </c>
      <c r="N97" s="6" t="str">
        <f t="shared" ca="1" si="3"/>
        <v/>
      </c>
      <c r="O97" s="6" t="str">
        <f t="shared" ca="1" si="3"/>
        <v/>
      </c>
      <c r="P97" s="6" t="str">
        <f t="shared" ca="1" si="3"/>
        <v/>
      </c>
      <c r="Q97" s="6" t="str">
        <f t="shared" ca="1" si="3"/>
        <v/>
      </c>
      <c r="R97" s="6" t="str">
        <f t="shared" ca="1" si="3"/>
        <v/>
      </c>
      <c r="S97" s="6" t="str">
        <f t="shared" ca="1" si="3"/>
        <v/>
      </c>
      <c r="T97" s="6" t="str">
        <f t="shared" ca="1" si="3"/>
        <v/>
      </c>
      <c r="U97" s="6" t="str">
        <f t="shared" ca="1" si="3"/>
        <v/>
      </c>
      <c r="V97" s="6" t="str">
        <f t="shared" ca="1" si="3"/>
        <v/>
      </c>
      <c r="W97" s="6" t="str">
        <f t="shared" ca="1" si="3"/>
        <v/>
      </c>
      <c r="X97" s="6" t="str">
        <f t="shared" ca="1" si="3"/>
        <v/>
      </c>
      <c r="Y97" s="6" t="str">
        <f t="shared" ca="1" si="3"/>
        <v/>
      </c>
      <c r="Z97" s="6" t="str">
        <f t="shared" ca="1" si="3"/>
        <v/>
      </c>
      <c r="AA97" s="6" t="str">
        <f t="shared" ca="1" si="3"/>
        <v/>
      </c>
      <c r="AB97" s="6" t="str">
        <f t="shared" ca="1" si="3"/>
        <v/>
      </c>
      <c r="AC97" s="6" t="str">
        <f t="shared" ca="1" si="3"/>
        <v/>
      </c>
      <c r="AD97" s="6" t="str">
        <f t="shared" ca="1" si="3"/>
        <v/>
      </c>
      <c r="AE97" s="6" t="str">
        <f t="shared" ca="1" si="3"/>
        <v/>
      </c>
      <c r="AF97" s="6" t="str">
        <f t="shared" ca="1" si="3"/>
        <v/>
      </c>
      <c r="AG97" s="6" t="str">
        <f t="shared" ca="1" si="3"/>
        <v/>
      </c>
      <c r="AH97" s="6" t="str">
        <f t="shared" ca="1" si="3"/>
        <v/>
      </c>
      <c r="AI97" s="6" t="str">
        <f t="shared" ca="1" si="3"/>
        <v/>
      </c>
      <c r="AJ97" s="6" t="str">
        <f t="shared" ca="1" si="3"/>
        <v/>
      </c>
      <c r="AK97" s="6" t="str">
        <f t="shared" ca="1" si="3"/>
        <v/>
      </c>
    </row>
    <row r="98" spans="2:37" ht="19.899999999999999" customHeight="1" x14ac:dyDescent="0.3">
      <c r="B98" s="72"/>
      <c r="C98" s="72"/>
      <c r="D98" s="7" t="str">
        <f t="shared" ref="D98:AK98" ca="1" si="4">IF(OR(NOT(ISNUMBER(D73)),D73&lt;Job2_StartDate),"",IF(MID(Job2_Pattern,MOD(D73-Job2_StartDate,LEN(Job2_Pattern))+1,1)=Job2_Shift1_Code,1,IF(MID(Job2_Pattern,MOD(D73-Job2_StartDate,LEN(Job2_Pattern))+1,1)=Job2_Shift2_Code,2,IF(MID(Job2_Pattern,MOD(D73-Job2_StartDate,LEN(Job2_Pattern))+1,1)=Job2_Shift3_Code,3,""))))</f>
        <v/>
      </c>
      <c r="E98" s="7" t="str">
        <f t="shared" ca="1" si="4"/>
        <v/>
      </c>
      <c r="F98" s="7" t="str">
        <f t="shared" ca="1" si="4"/>
        <v/>
      </c>
      <c r="G98" s="7" t="str">
        <f t="shared" ca="1" si="4"/>
        <v/>
      </c>
      <c r="H98" s="7" t="str">
        <f t="shared" ca="1" si="4"/>
        <v/>
      </c>
      <c r="I98" s="7" t="str">
        <f t="shared" ca="1" si="4"/>
        <v/>
      </c>
      <c r="J98" s="7" t="str">
        <f t="shared" ca="1" si="4"/>
        <v/>
      </c>
      <c r="K98" s="7" t="str">
        <f t="shared" ca="1" si="4"/>
        <v/>
      </c>
      <c r="L98" s="7" t="str">
        <f t="shared" ca="1" si="4"/>
        <v/>
      </c>
      <c r="M98" s="7" t="str">
        <f t="shared" ca="1" si="4"/>
        <v/>
      </c>
      <c r="N98" s="7" t="str">
        <f t="shared" ca="1" si="4"/>
        <v/>
      </c>
      <c r="O98" s="7" t="str">
        <f t="shared" ca="1" si="4"/>
        <v/>
      </c>
      <c r="P98" s="7" t="str">
        <f t="shared" ca="1" si="4"/>
        <v/>
      </c>
      <c r="Q98" s="7" t="str">
        <f t="shared" ca="1" si="4"/>
        <v/>
      </c>
      <c r="R98" s="7" t="str">
        <f t="shared" ca="1" si="4"/>
        <v/>
      </c>
      <c r="S98" s="7" t="str">
        <f t="shared" ca="1" si="4"/>
        <v/>
      </c>
      <c r="T98" s="7" t="str">
        <f t="shared" ca="1" si="4"/>
        <v/>
      </c>
      <c r="U98" s="7" t="str">
        <f t="shared" ca="1" si="4"/>
        <v/>
      </c>
      <c r="V98" s="7" t="str">
        <f t="shared" ca="1" si="4"/>
        <v/>
      </c>
      <c r="W98" s="7" t="str">
        <f t="shared" ca="1" si="4"/>
        <v/>
      </c>
      <c r="X98" s="7" t="str">
        <f t="shared" ca="1" si="4"/>
        <v/>
      </c>
      <c r="Y98" s="7" t="str">
        <f t="shared" ca="1" si="4"/>
        <v/>
      </c>
      <c r="Z98" s="7" t="str">
        <f t="shared" ca="1" si="4"/>
        <v/>
      </c>
      <c r="AA98" s="7" t="str">
        <f t="shared" ca="1" si="4"/>
        <v/>
      </c>
      <c r="AB98" s="7" t="str">
        <f t="shared" ca="1" si="4"/>
        <v/>
      </c>
      <c r="AC98" s="7" t="str">
        <f t="shared" ca="1" si="4"/>
        <v/>
      </c>
      <c r="AD98" s="7" t="str">
        <f t="shared" ca="1" si="4"/>
        <v/>
      </c>
      <c r="AE98" s="7" t="str">
        <f t="shared" ca="1" si="4"/>
        <v/>
      </c>
      <c r="AF98" s="7" t="str">
        <f t="shared" ca="1" si="4"/>
        <v/>
      </c>
      <c r="AG98" s="7" t="str">
        <f t="shared" ca="1" si="4"/>
        <v/>
      </c>
      <c r="AH98" s="7" t="str">
        <f t="shared" ca="1" si="4"/>
        <v/>
      </c>
      <c r="AI98" s="7" t="str">
        <f t="shared" ca="1" si="4"/>
        <v/>
      </c>
      <c r="AJ98" s="7" t="str">
        <f t="shared" ca="1" si="4"/>
        <v/>
      </c>
      <c r="AK98" s="7" t="str">
        <f t="shared" ca="1" si="4"/>
        <v/>
      </c>
    </row>
    <row r="99" spans="2:37" ht="19.899999999999999" customHeight="1" x14ac:dyDescent="0.3">
      <c r="B99" s="73"/>
      <c r="C99" s="73"/>
      <c r="D99" s="7" t="str">
        <f t="shared" ref="D99:AK99" ca="1" si="5">IF(OR(NOT(ISNUMBER(D73)),D73&lt;Job3_StartDate),"",IF(MID(Job3_Pattern,MOD(D73-Job3_StartDate,LEN(Job3_Pattern))+1,1)=Job3_Shift1_Code,1,IF(MID(Job3_Pattern,MOD(D73-Job3_StartDate,LEN(Job3_Pattern))+1,1)=Job3_Shift2_Code,2,IF(MID(Job3_Pattern,MOD(D73-Job3_StartDate,LEN(Job3_Pattern))+1,1)=Job3_Shift3_Code,3,""))))</f>
        <v/>
      </c>
      <c r="E99" s="7" t="str">
        <f t="shared" ca="1" si="5"/>
        <v/>
      </c>
      <c r="F99" s="7" t="str">
        <f t="shared" ca="1" si="5"/>
        <v/>
      </c>
      <c r="G99" s="7" t="str">
        <f t="shared" ca="1" si="5"/>
        <v/>
      </c>
      <c r="H99" s="7" t="str">
        <f t="shared" ca="1" si="5"/>
        <v/>
      </c>
      <c r="I99" s="7" t="str">
        <f t="shared" ca="1" si="5"/>
        <v/>
      </c>
      <c r="J99" s="7" t="str">
        <f t="shared" ca="1" si="5"/>
        <v/>
      </c>
      <c r="K99" s="7" t="str">
        <f t="shared" ca="1" si="5"/>
        <v/>
      </c>
      <c r="L99" s="7" t="str">
        <f t="shared" ca="1" si="5"/>
        <v/>
      </c>
      <c r="M99" s="7" t="str">
        <f t="shared" ca="1" si="5"/>
        <v/>
      </c>
      <c r="N99" s="7" t="str">
        <f t="shared" ca="1" si="5"/>
        <v/>
      </c>
      <c r="O99" s="7" t="str">
        <f t="shared" ca="1" si="5"/>
        <v/>
      </c>
      <c r="P99" s="7" t="str">
        <f t="shared" ca="1" si="5"/>
        <v/>
      </c>
      <c r="Q99" s="7" t="str">
        <f t="shared" ca="1" si="5"/>
        <v/>
      </c>
      <c r="R99" s="7" t="str">
        <f t="shared" ca="1" si="5"/>
        <v/>
      </c>
      <c r="S99" s="7" t="str">
        <f t="shared" ca="1" si="5"/>
        <v/>
      </c>
      <c r="T99" s="7" t="str">
        <f t="shared" ca="1" si="5"/>
        <v/>
      </c>
      <c r="U99" s="7" t="str">
        <f t="shared" ca="1" si="5"/>
        <v/>
      </c>
      <c r="V99" s="7" t="str">
        <f t="shared" ca="1" si="5"/>
        <v/>
      </c>
      <c r="W99" s="7" t="str">
        <f t="shared" ca="1" si="5"/>
        <v/>
      </c>
      <c r="X99" s="7" t="str">
        <f t="shared" ca="1" si="5"/>
        <v/>
      </c>
      <c r="Y99" s="7" t="str">
        <f t="shared" ca="1" si="5"/>
        <v/>
      </c>
      <c r="Z99" s="7" t="str">
        <f t="shared" ca="1" si="5"/>
        <v/>
      </c>
      <c r="AA99" s="7" t="str">
        <f t="shared" ca="1" si="5"/>
        <v/>
      </c>
      <c r="AB99" s="7" t="str">
        <f t="shared" ca="1" si="5"/>
        <v/>
      </c>
      <c r="AC99" s="7" t="str">
        <f t="shared" ca="1" si="5"/>
        <v/>
      </c>
      <c r="AD99" s="7" t="str">
        <f t="shared" ca="1" si="5"/>
        <v/>
      </c>
      <c r="AE99" s="7" t="str">
        <f t="shared" ca="1" si="5"/>
        <v/>
      </c>
      <c r="AF99" s="7" t="str">
        <f t="shared" ca="1" si="5"/>
        <v/>
      </c>
      <c r="AG99" s="7" t="str">
        <f t="shared" ca="1" si="5"/>
        <v/>
      </c>
      <c r="AH99" s="7" t="str">
        <f t="shared" ca="1" si="5"/>
        <v/>
      </c>
      <c r="AI99" s="7" t="str">
        <f t="shared" ca="1" si="5"/>
        <v/>
      </c>
      <c r="AJ99" s="7" t="str">
        <f t="shared" ca="1" si="5"/>
        <v/>
      </c>
      <c r="AK99" s="7" t="str">
        <f t="shared" ca="1" si="5"/>
        <v/>
      </c>
    </row>
    <row r="100" spans="2:37" ht="19.899999999999999" customHeight="1" x14ac:dyDescent="0.3">
      <c r="B100" s="74"/>
      <c r="C100" s="74"/>
    </row>
    <row r="101" spans="2:37" s="75" customFormat="1" ht="19.899999999999999" customHeight="1" x14ac:dyDescent="0.3">
      <c r="B101" s="211">
        <f ca="1">DATE(CalendarYear,5,1)</f>
        <v>46143</v>
      </c>
      <c r="C101" s="77"/>
      <c r="D101" s="9" t="str">
        <f ca="1">IF(DAY(MaySun1)=1,"",IF(AND(YEAR(MaySun1+1)=CalendarYear,MONTH(MaySun1+1)=5),MaySun1+1,""))</f>
        <v/>
      </c>
      <c r="E101" s="9" t="str">
        <f ca="1">IF(DAY(MaySun1)=1,"",IF(AND(YEAR(MaySun1+2)=CalendarYear,MONTH(MaySun1+2)=5),MaySun1+2,""))</f>
        <v/>
      </c>
      <c r="F101" s="9" t="str">
        <f ca="1">IF(DAY(MaySun1)=1,"",IF(AND(YEAR(MaySun1+3)=CalendarYear,MONTH(MaySun1+3)=5),MaySun1+3,""))</f>
        <v/>
      </c>
      <c r="G101" s="9" t="str">
        <f ca="1">IF(DAY(MaySun1)=1,"",IF(AND(YEAR(MaySun1+4)=CalendarYear,MONTH(MaySun1+4)=5),MaySun1+4,""))</f>
        <v/>
      </c>
      <c r="H101" s="9" t="str">
        <f ca="1">IF(DAY(MaySun1)=1,"",IF(AND(YEAR(MaySun1+5)=CalendarYear,MONTH(MaySun1+5)=5),MaySun1+5,""))</f>
        <v/>
      </c>
      <c r="I101" s="9">
        <f ca="1">IF(DAY(MaySun1)=1,"",IF(AND(YEAR(MaySun1+6)=CalendarYear,MONTH(MaySun1+6)=5),MaySun1+6,""))</f>
        <v>46143</v>
      </c>
      <c r="J101" s="9">
        <f ca="1">IF(DAY(MaySun1)=1,IF(AND(YEAR(MaySun1)=CalendarYear,MONTH(MaySun1)=5),MaySun1,""),IF(AND(YEAR(MaySun1+7)=CalendarYear,MONTH(MaySun1+7)=5),MaySun1+7,""))</f>
        <v>46144</v>
      </c>
      <c r="K101" s="9">
        <f ca="1">IF(DAY(MaySun1)=1,IF(AND(YEAR(MaySun1+1)=CalendarYear,MONTH(MaySun1+1)=5),MaySun1+1,""),IF(AND(YEAR(MaySun1+8)=CalendarYear,MONTH(MaySun1+8)=5),MaySun1+8,""))</f>
        <v>46145</v>
      </c>
      <c r="L101" s="9">
        <f ca="1">IF(DAY(MaySun1)=1,IF(AND(YEAR(MaySun1+2)=CalendarYear,MONTH(MaySun1+2)=5),MaySun1+2,""),IF(AND(YEAR(MaySun1+9)=CalendarYear,MONTH(MaySun1+9)=5),MaySun1+9,""))</f>
        <v>46146</v>
      </c>
      <c r="M101" s="9">
        <f ca="1">IF(DAY(MaySun1)=1,IF(AND(YEAR(MaySun1+4)=CalendarYear,MONTH(MaySun1+4)=5),MaySun1+4,""),IF(AND(YEAR(MaySun1+11)=CalendarYear,MONTH(MaySun1+11)=5),MaySun1+11,""))</f>
        <v>46148</v>
      </c>
      <c r="N101" s="9">
        <f ca="1">IF(DAY(MaySun1)=1,IF(AND(YEAR(MaySun1+5)=CalendarYear,MONTH(MaySun1+5)=5),MaySun1+5,""),IF(AND(YEAR(MaySun1+12)=CalendarYear,MONTH(MaySun1+12)=5),MaySun1+12,""))</f>
        <v>46149</v>
      </c>
      <c r="O101" s="9">
        <f ca="1">IF(DAY(MaySun1)=1,IF(AND(YEAR(MaySun1+6)=CalendarYear,MONTH(MaySun1+6)=5),MaySun1+6,""),IF(AND(YEAR(MaySun1+13)=CalendarYear,MONTH(MaySun1+13)=5),MaySun1+13,""))</f>
        <v>46150</v>
      </c>
      <c r="P101" s="9">
        <f ca="1">IF(DAY(MaySun1)=1,IF(AND(YEAR(MaySun1+7)=CalendarYear,MONTH(MaySun1+7)=5),MaySun1+7,""),IF(AND(YEAR(MaySun1+14)=CalendarYear,MONTH(MaySun1+14)=5),MaySun1+14,""))</f>
        <v>46151</v>
      </c>
      <c r="Q101" s="9">
        <f ca="1">IF(DAY(MaySun1)=1,IF(AND(YEAR(MaySun1+9)=CalendarYear,MONTH(MaySun1+9)=5),MaySun1+9,""),IF(AND(YEAR(MaySun1+16)=CalendarYear,MONTH(MaySun1+16)=5),MaySun1+16,""))</f>
        <v>46153</v>
      </c>
      <c r="R101" s="9">
        <f ca="1">IF(DAY(MaySun1)=1,IF(AND(YEAR(MaySun1+10)=CalendarYear,MONTH(MaySun1+10)=5),MaySun1+10,""),IF(AND(YEAR(MaySun1+17)=CalendarYear,MONTH(MaySun1+17)=5),MaySun1+17,""))</f>
        <v>46154</v>
      </c>
      <c r="S101" s="9">
        <f ca="1">IF(DAY(MaySun1)=1,IF(AND(YEAR(MaySun1+11)=CalendarYear,MONTH(MaySun1+11)=5),MaySun1+11,""),IF(AND(YEAR(MaySun1+18)=CalendarYear,MONTH(MaySun1+18)=5),MaySun1+18,""))</f>
        <v>46155</v>
      </c>
      <c r="T101" s="9">
        <f ca="1">IF(DAY(MaySun1)=1,IF(AND(YEAR(MaySun1+12)=CalendarYear,MONTH(MaySun1+12)=5),MaySun1+12,""),IF(AND(YEAR(MaySun1+19)=CalendarYear,MONTH(MaySun1+19)=5),MaySun1+19,""))</f>
        <v>46156</v>
      </c>
      <c r="U101" s="9">
        <f ca="1">IF(DAY(MaySun1)=1,IF(AND(YEAR(MaySun1+14)=CalendarYear,MONTH(MaySun1+14)=5),MaySun1+14,""),IF(AND(YEAR(MaySun1+21)=CalendarYear,MONTH(MaySun1+21)=5),MaySun1+21,""))</f>
        <v>46158</v>
      </c>
      <c r="V101" s="9">
        <f ca="1">IF(DAY(MaySun1)=1,IF(AND(YEAR(MaySun1+15)=CalendarYear,MONTH(MaySun1+15)=5),MaySun1+15,""),IF(AND(YEAR(MaySun1+22)=CalendarYear,MONTH(MaySun1+22)=5),MaySun1+22,""))</f>
        <v>46159</v>
      </c>
      <c r="W101" s="9">
        <f ca="1">IF(DAY(MaySun1)=1,IF(AND(YEAR(MaySun1+16)=CalendarYear,MONTH(MaySun1+16)=5),MaySun1+16,""),IF(AND(YEAR(MaySun1+23)=CalendarYear,MONTH(MaySun1+23)=5),MaySun1+23,""))</f>
        <v>46160</v>
      </c>
      <c r="X101" s="9">
        <f ca="1">IF(DAY(MaySun1)=1,IF(AND(YEAR(MaySun1+17)=CalendarYear,MONTH(MaySun1+17)=5),MaySun1+17,""),IF(AND(YEAR(MaySun1+24)=CalendarYear,MONTH(MaySun1+24)=5),MaySun1+24,""))</f>
        <v>46161</v>
      </c>
      <c r="Y101" s="9">
        <f ca="1">IF(DAY(MaySun1)=1,IF(AND(YEAR(MaySun1+18)=CalendarYear,MONTH(MaySun1+18)=5),MaySun1+18,""),IF(AND(YEAR(MaySun1+25)=CalendarYear,MONTH(MaySun1+25)=5),MaySun1+25,""))</f>
        <v>46162</v>
      </c>
      <c r="Z101" s="9">
        <f ca="1">IF(DAY(MaySun1)=1,IF(AND(YEAR(MaySun1+19)=CalendarYear,MONTH(MaySun1+19)=5),MaySun1+19,""),IF(AND(YEAR(MaySun1+26)=CalendarYear,MONTH(MaySun1+26)=5),MaySun1+26,""))</f>
        <v>46163</v>
      </c>
      <c r="AA101" s="9">
        <f ca="1">IF(DAY(MaySun1)=1,IF(AND(YEAR(MaySun1+20)=CalendarYear,MONTH(MaySun1+20)=5),MaySun1+20,""),IF(AND(YEAR(MaySun1+27)=CalendarYear,MONTH(MaySun1+27)=5),MaySun1+27,""))</f>
        <v>46164</v>
      </c>
      <c r="AB101" s="9">
        <f ca="1">IF(DAY(MaySun1)=1,IF(AND(YEAR(MaySun1+21)=CalendarYear,MONTH(MaySun1+21)=5),MaySun1+21,""),IF(AND(YEAR(MaySun1+28)=CalendarYear,MONTH(MaySun1+28)=5),MaySun1+28,""))</f>
        <v>46165</v>
      </c>
      <c r="AC101" s="9">
        <f ca="1">IF(DAY(MaySun1)=1,IF(AND(YEAR(MaySun1+22)=CalendarYear,MONTH(MaySun1+22)=5),MaySun1+22,""),IF(AND(YEAR(MaySun1+29)=CalendarYear,MONTH(MaySun1+29)=5),MaySun1+29,""))</f>
        <v>46166</v>
      </c>
      <c r="AD101" s="9">
        <f ca="1">IF(DAY(MaySun1)=1,IF(AND(YEAR(MaySun1+23)=CalendarYear,MONTH(MaySun1+23)=5),MaySun1+23,""),IF(AND(YEAR(MaySun1+30)=CalendarYear,MONTH(MaySun1+30)=5),MaySun1+30,""))</f>
        <v>46167</v>
      </c>
      <c r="AE101" s="9">
        <f ca="1">IF(DAY(MaySun1)=1,IF(AND(YEAR(MaySun1+24)=CalendarYear,MONTH(MaySun1+24)=5),MaySun1+24,""),IF(AND(YEAR(MaySun1+31)=CalendarYear,MONTH(MaySun1+31)=5),MaySun1+31,""))</f>
        <v>46168</v>
      </c>
      <c r="AF101" s="9">
        <f ca="1">IF(DAY(MaySun1)=1,IF(AND(YEAR(MaySun1+25)=CalendarYear,MONTH(MaySun1+25)=5),MaySun1+25,""),IF(AND(YEAR(MaySun1+32)=CalendarYear,MONTH(MaySun1+32)=5),MaySun1+32,""))</f>
        <v>46169</v>
      </c>
      <c r="AG101" s="9">
        <f ca="1">IF(DAY(MaySun1)=1,IF(AND(YEAR(MaySun1+26)=CalendarYear,MONTH(MaySun1+26)=5),MaySun1+26,""),IF(AND(YEAR(MaySun1+33)=CalendarYear,MONTH(MaySun1+33)=5),MaySun1+33,""))</f>
        <v>46170</v>
      </c>
      <c r="AH101" s="9">
        <f ca="1">IF(DAY(MaySun1)=1,IF(AND(YEAR(MaySun1+27)=CalendarYear,MONTH(MaySun1+27)=5),MaySun1+27,""),IF(AND(YEAR(MaySun1+34)=CalendarYear,MONTH(MaySun1+34)=5),MaySun1+34,""))</f>
        <v>46171</v>
      </c>
      <c r="AI101" s="9">
        <f ca="1">IF(DAY(MaySun1)=1,IF(AND(YEAR(MaySun1+28)=CalendarYear,MONTH(MaySun1+28)=5),MaySun1+28,""),IF(AND(YEAR(MaySun1+35)=CalendarYear,MONTH(MaySun1+35)=5),MaySun1+35,""))</f>
        <v>46172</v>
      </c>
      <c r="AJ101" s="9">
        <f ca="1">IF(DAY(MaySun1)=1,IF(AND(YEAR(MaySun1+29)=CalendarYear,MONTH(MaySun1+29)=5),MaySun1+29,""),IF(AND(YEAR(MaySun1+36)=CalendarYear,MONTH(MaySun1+36)=5),MaySun1+36,""))</f>
        <v>46173</v>
      </c>
      <c r="AK101" s="11" t="str">
        <f ca="1">IF(DAY(MaySun1)=1,IF(AND(YEAR(MaySun1+30)=CalendarYear,MONTH(MaySun1+30)=5),MaySun1+30,""),IF(AND(YEAR(MaySun1+37)=CalendarYear,MONTH(MaySun1+37)=5),MaySun1+37,""))</f>
        <v/>
      </c>
    </row>
    <row r="102" spans="2:37" s="75" customFormat="1" ht="19.899999999999999" customHeight="1" x14ac:dyDescent="0.3">
      <c r="B102" s="212"/>
      <c r="C102" s="78"/>
      <c r="D102" s="10" t="s">
        <v>15</v>
      </c>
      <c r="E102" s="10" t="s">
        <v>9</v>
      </c>
      <c r="F102" s="10" t="s">
        <v>10</v>
      </c>
      <c r="G102" s="10" t="s">
        <v>11</v>
      </c>
      <c r="H102" s="10" t="s">
        <v>16</v>
      </c>
      <c r="I102" s="10" t="s">
        <v>13</v>
      </c>
      <c r="J102" s="10" t="s">
        <v>14</v>
      </c>
      <c r="K102" s="10" t="s">
        <v>15</v>
      </c>
      <c r="L102" s="10" t="s">
        <v>9</v>
      </c>
      <c r="M102" s="10" t="s">
        <v>11</v>
      </c>
      <c r="N102" s="10" t="s">
        <v>16</v>
      </c>
      <c r="O102" s="10" t="s">
        <v>13</v>
      </c>
      <c r="P102" s="10" t="s">
        <v>14</v>
      </c>
      <c r="Q102" s="10" t="s">
        <v>9</v>
      </c>
      <c r="R102" s="10" t="s">
        <v>10</v>
      </c>
      <c r="S102" s="10" t="s">
        <v>11</v>
      </c>
      <c r="T102" s="10" t="s">
        <v>16</v>
      </c>
      <c r="U102" s="10" t="s">
        <v>14</v>
      </c>
      <c r="V102" s="10" t="s">
        <v>15</v>
      </c>
      <c r="W102" s="10" t="s">
        <v>9</v>
      </c>
      <c r="X102" s="10" t="s">
        <v>10</v>
      </c>
      <c r="Y102" s="10" t="s">
        <v>11</v>
      </c>
      <c r="Z102" s="10" t="s">
        <v>16</v>
      </c>
      <c r="AA102" s="10" t="s">
        <v>13</v>
      </c>
      <c r="AB102" s="10" t="s">
        <v>14</v>
      </c>
      <c r="AC102" s="10" t="s">
        <v>15</v>
      </c>
      <c r="AD102" s="10" t="s">
        <v>9</v>
      </c>
      <c r="AE102" s="10" t="s">
        <v>10</v>
      </c>
      <c r="AF102" s="10" t="s">
        <v>11</v>
      </c>
      <c r="AG102" s="10" t="s">
        <v>16</v>
      </c>
      <c r="AH102" s="10" t="s">
        <v>13</v>
      </c>
      <c r="AI102" s="10" t="s">
        <v>14</v>
      </c>
      <c r="AJ102" s="10" t="s">
        <v>15</v>
      </c>
      <c r="AK102" s="12" t="s">
        <v>9</v>
      </c>
    </row>
    <row r="103" spans="2:37" ht="19.899999999999999" customHeight="1" x14ac:dyDescent="0.3">
      <c r="B103" s="71" t="s">
        <v>174</v>
      </c>
      <c r="C103" s="71"/>
      <c r="D103" s="6" t="str">
        <f t="shared" ref="D103:AK103" ca="1" si="6">IF(OR(NOT(ISNUMBER(D101)),D101&lt;Job1_StartDate),"",IF(MID(Job1_Pattern,MOD(D101-Job1_StartDate,LEN(Job1_Pattern))+1,1)=Job1_Shift1_Code,1,IF(MID(Job1_Pattern,MOD(D101-Job1_StartDate,LEN(Job1_Pattern))+1,1)=Job1_Shift2_Code,2,IF(MID(Job1_Pattern,MOD(D101-Job1_StartDate,LEN(Job1_Pattern))+1,1)=Job1_Shift3_Code,3,""))))</f>
        <v/>
      </c>
      <c r="E103" s="6" t="str">
        <f t="shared" ca="1" si="6"/>
        <v/>
      </c>
      <c r="F103" s="6" t="str">
        <f t="shared" ca="1" si="6"/>
        <v/>
      </c>
      <c r="G103" s="6" t="str">
        <f t="shared" ca="1" si="6"/>
        <v/>
      </c>
      <c r="H103" s="6" t="str">
        <f t="shared" ca="1" si="6"/>
        <v/>
      </c>
      <c r="I103" s="6" t="str">
        <f t="shared" ca="1" si="6"/>
        <v/>
      </c>
      <c r="J103" s="6" t="str">
        <f t="shared" ca="1" si="6"/>
        <v/>
      </c>
      <c r="K103" s="6" t="str">
        <f t="shared" ca="1" si="6"/>
        <v/>
      </c>
      <c r="L103" s="6">
        <f t="shared" ca="1" si="6"/>
        <v>1</v>
      </c>
      <c r="M103" s="6" t="str">
        <f t="shared" ca="1" si="6"/>
        <v/>
      </c>
      <c r="N103" s="6" t="str">
        <f t="shared" ca="1" si="6"/>
        <v/>
      </c>
      <c r="O103" s="6">
        <f t="shared" ca="1" si="6"/>
        <v>1</v>
      </c>
      <c r="P103" s="6" t="str">
        <f t="shared" ca="1" si="6"/>
        <v/>
      </c>
      <c r="Q103" s="6" t="str">
        <f t="shared" ca="1" si="6"/>
        <v/>
      </c>
      <c r="R103" s="6">
        <f t="shared" ca="1" si="6"/>
        <v>1</v>
      </c>
      <c r="S103" s="6" t="str">
        <f t="shared" ca="1" si="6"/>
        <v/>
      </c>
      <c r="T103" s="6" t="str">
        <f t="shared" ca="1" si="6"/>
        <v/>
      </c>
      <c r="U103" s="6">
        <f t="shared" ca="1" si="6"/>
        <v>1</v>
      </c>
      <c r="V103" s="6" t="str">
        <f t="shared" ca="1" si="6"/>
        <v/>
      </c>
      <c r="W103" s="6" t="str">
        <f t="shared" ca="1" si="6"/>
        <v/>
      </c>
      <c r="X103" s="6" t="str">
        <f t="shared" ca="1" si="6"/>
        <v/>
      </c>
      <c r="Y103" s="6">
        <f t="shared" ca="1" si="6"/>
        <v>1</v>
      </c>
      <c r="Z103" s="6" t="str">
        <f t="shared" ca="1" si="6"/>
        <v/>
      </c>
      <c r="AA103" s="6" t="str">
        <f t="shared" ca="1" si="6"/>
        <v/>
      </c>
      <c r="AB103" s="6" t="str">
        <f t="shared" ca="1" si="6"/>
        <v/>
      </c>
      <c r="AC103" s="6">
        <f t="shared" ca="1" si="6"/>
        <v>1</v>
      </c>
      <c r="AD103" s="6" t="str">
        <f t="shared" ca="1" si="6"/>
        <v/>
      </c>
      <c r="AE103" s="6" t="str">
        <f t="shared" ca="1" si="6"/>
        <v/>
      </c>
      <c r="AF103" s="6" t="str">
        <f t="shared" ca="1" si="6"/>
        <v/>
      </c>
      <c r="AG103" s="6">
        <f t="shared" ca="1" si="6"/>
        <v>1</v>
      </c>
      <c r="AH103" s="6" t="str">
        <f t="shared" ca="1" si="6"/>
        <v/>
      </c>
      <c r="AI103" s="6" t="str">
        <f t="shared" ca="1" si="6"/>
        <v/>
      </c>
      <c r="AJ103" s="6" t="str">
        <f t="shared" ca="1" si="6"/>
        <v/>
      </c>
      <c r="AK103" s="6" t="str">
        <f t="shared" ca="1" si="6"/>
        <v/>
      </c>
    </row>
    <row r="104" spans="2:37" ht="19.899999999999999" customHeight="1" x14ac:dyDescent="0.3">
      <c r="B104" s="72" t="s">
        <v>175</v>
      </c>
      <c r="C104" s="72"/>
      <c r="D104" s="7" t="str">
        <f t="shared" ref="D104:AK104" ca="1" si="7">IF(OR(NOT(ISNUMBER(D101)),D101&lt;Job2_StartDate),"",IF(MID(Job2_Pattern,MOD(D101-Job2_StartDate,LEN(Job2_Pattern))+1,1)=Job2_Shift1_Code,1,IF(MID(Job2_Pattern,MOD(D101-Job2_StartDate,LEN(Job2_Pattern))+1,1)=Job2_Shift2_Code,2,IF(MID(Job2_Pattern,MOD(D101-Job2_StartDate,LEN(Job2_Pattern))+1,1)=Job2_Shift3_Code,3,""))))</f>
        <v/>
      </c>
      <c r="E104" s="7" t="str">
        <f t="shared" ca="1" si="7"/>
        <v/>
      </c>
      <c r="F104" s="7" t="str">
        <f t="shared" ca="1" si="7"/>
        <v/>
      </c>
      <c r="G104" s="7" t="str">
        <f t="shared" ca="1" si="7"/>
        <v/>
      </c>
      <c r="H104" s="7" t="str">
        <f t="shared" ca="1" si="7"/>
        <v/>
      </c>
      <c r="I104" s="7" t="str">
        <f t="shared" ca="1" si="7"/>
        <v/>
      </c>
      <c r="J104" s="7" t="str">
        <f t="shared" ca="1" si="7"/>
        <v/>
      </c>
      <c r="K104" s="7">
        <f t="shared" ca="1" si="7"/>
        <v>2</v>
      </c>
      <c r="L104" s="7" t="str">
        <f t="shared" ca="1" si="7"/>
        <v/>
      </c>
      <c r="M104" s="7" t="s">
        <v>176</v>
      </c>
      <c r="N104" s="7">
        <f t="shared" ca="1" si="7"/>
        <v>2</v>
      </c>
      <c r="O104" s="7" t="str">
        <f t="shared" ca="1" si="7"/>
        <v/>
      </c>
      <c r="P104" s="7" t="str">
        <f t="shared" ca="1" si="7"/>
        <v/>
      </c>
      <c r="Q104" s="7">
        <f t="shared" ca="1" si="7"/>
        <v>2</v>
      </c>
      <c r="R104" s="7" t="str">
        <f t="shared" ca="1" si="7"/>
        <v/>
      </c>
      <c r="S104" s="7" t="str">
        <f t="shared" ca="1" si="7"/>
        <v/>
      </c>
      <c r="T104" s="7" t="str">
        <f t="shared" ca="1" si="7"/>
        <v/>
      </c>
      <c r="U104" s="7" t="str">
        <f t="shared" ca="1" si="7"/>
        <v/>
      </c>
      <c r="V104" s="7" t="str">
        <f t="shared" ca="1" si="7"/>
        <v/>
      </c>
      <c r="W104" s="7" t="str">
        <f t="shared" ca="1" si="7"/>
        <v/>
      </c>
      <c r="X104" s="7">
        <f t="shared" ca="1" si="7"/>
        <v>2</v>
      </c>
      <c r="Y104" s="7" t="str">
        <f t="shared" ca="1" si="7"/>
        <v/>
      </c>
      <c r="Z104" s="7" t="str">
        <f t="shared" ca="1" si="7"/>
        <v/>
      </c>
      <c r="AA104" s="7" t="str">
        <f t="shared" ca="1" si="7"/>
        <v/>
      </c>
      <c r="AB104" s="7">
        <f t="shared" ca="1" si="7"/>
        <v>2</v>
      </c>
      <c r="AC104" s="7" t="str">
        <f t="shared" ca="1" si="7"/>
        <v/>
      </c>
      <c r="AD104" s="7" t="str">
        <f t="shared" ca="1" si="7"/>
        <v/>
      </c>
      <c r="AE104" s="7" t="str">
        <f t="shared" ca="1" si="7"/>
        <v/>
      </c>
      <c r="AF104" s="7">
        <f t="shared" ca="1" si="7"/>
        <v>2</v>
      </c>
      <c r="AG104" s="7" t="str">
        <f t="shared" ca="1" si="7"/>
        <v/>
      </c>
      <c r="AH104" s="7" t="str">
        <f t="shared" ca="1" si="7"/>
        <v/>
      </c>
      <c r="AI104" s="7" t="str">
        <f t="shared" ca="1" si="7"/>
        <v/>
      </c>
      <c r="AJ104" s="7">
        <f t="shared" ca="1" si="7"/>
        <v>2</v>
      </c>
      <c r="AK104" s="7" t="str">
        <f t="shared" ca="1" si="7"/>
        <v/>
      </c>
    </row>
    <row r="105" spans="2:37" ht="19.899999999999999" customHeight="1" x14ac:dyDescent="0.3">
      <c r="B105" s="73" t="s">
        <v>177</v>
      </c>
      <c r="C105" s="73"/>
      <c r="D105" s="7" t="str">
        <f t="shared" ref="D105:AK105" ca="1" si="8">IF(OR(NOT(ISNUMBER(D101)),D101&lt;Job3_StartDate),"",IF(MID(Job3_Pattern,MOD(D101-Job3_StartDate,LEN(Job3_Pattern))+1,1)=Job3_Shift1_Code,1,IF(MID(Job3_Pattern,MOD(D101-Job3_StartDate,LEN(Job3_Pattern))+1,1)=Job3_Shift2_Code,2,IF(MID(Job3_Pattern,MOD(D101-Job3_StartDate,LEN(Job3_Pattern))+1,1)=Job3_Shift3_Code,3,""))))</f>
        <v/>
      </c>
      <c r="E105" s="7" t="str">
        <f t="shared" ca="1" si="8"/>
        <v/>
      </c>
      <c r="F105" s="7" t="str">
        <f t="shared" ca="1" si="8"/>
        <v/>
      </c>
      <c r="G105" s="7" t="str">
        <f t="shared" ca="1" si="8"/>
        <v/>
      </c>
      <c r="H105" s="7" t="str">
        <f t="shared" ca="1" si="8"/>
        <v/>
      </c>
      <c r="I105" s="7" t="str">
        <f t="shared" ca="1" si="8"/>
        <v/>
      </c>
      <c r="J105" s="7" t="str">
        <f t="shared" ca="1" si="8"/>
        <v/>
      </c>
      <c r="K105" s="7" t="str">
        <f t="shared" ca="1" si="8"/>
        <v/>
      </c>
      <c r="L105" s="7">
        <f t="shared" ca="1" si="8"/>
        <v>3</v>
      </c>
      <c r="M105" s="7" t="str">
        <f t="shared" ca="1" si="8"/>
        <v/>
      </c>
      <c r="N105" s="7" t="str">
        <f t="shared" ca="1" si="8"/>
        <v/>
      </c>
      <c r="O105" s="7">
        <f t="shared" ca="1" si="8"/>
        <v>3</v>
      </c>
      <c r="P105" s="7" t="str">
        <f t="shared" ca="1" si="8"/>
        <v/>
      </c>
      <c r="Q105" s="7" t="str">
        <f t="shared" ca="1" si="8"/>
        <v/>
      </c>
      <c r="R105" s="7">
        <f t="shared" ca="1" si="8"/>
        <v>3</v>
      </c>
      <c r="S105" s="7" t="str">
        <f t="shared" ca="1" si="8"/>
        <v/>
      </c>
      <c r="T105" s="7" t="str">
        <f t="shared" ca="1" si="8"/>
        <v/>
      </c>
      <c r="U105" s="7">
        <f t="shared" ca="1" si="8"/>
        <v>3</v>
      </c>
      <c r="V105" s="7" t="str">
        <f t="shared" ca="1" si="8"/>
        <v/>
      </c>
      <c r="W105" s="7" t="str">
        <f t="shared" ca="1" si="8"/>
        <v/>
      </c>
      <c r="X105" s="7" t="str">
        <f t="shared" ca="1" si="8"/>
        <v/>
      </c>
      <c r="Y105" s="7">
        <f t="shared" ca="1" si="8"/>
        <v>3</v>
      </c>
      <c r="Z105" s="7" t="str">
        <f t="shared" ca="1" si="8"/>
        <v/>
      </c>
      <c r="AA105" s="7" t="str">
        <f t="shared" ca="1" si="8"/>
        <v/>
      </c>
      <c r="AB105" s="7" t="str">
        <f t="shared" ca="1" si="8"/>
        <v/>
      </c>
      <c r="AC105" s="7">
        <f t="shared" ca="1" si="8"/>
        <v>3</v>
      </c>
      <c r="AD105" s="7" t="str">
        <f t="shared" ca="1" si="8"/>
        <v/>
      </c>
      <c r="AE105" s="7" t="str">
        <f t="shared" ca="1" si="8"/>
        <v/>
      </c>
      <c r="AF105" s="7" t="str">
        <f t="shared" ca="1" si="8"/>
        <v/>
      </c>
      <c r="AG105" s="7">
        <f t="shared" ca="1" si="8"/>
        <v>3</v>
      </c>
      <c r="AH105" s="7" t="str">
        <f t="shared" ca="1" si="8"/>
        <v/>
      </c>
      <c r="AI105" s="7" t="str">
        <f t="shared" ca="1" si="8"/>
        <v/>
      </c>
      <c r="AJ105" s="7" t="str">
        <f t="shared" ca="1" si="8"/>
        <v/>
      </c>
      <c r="AK105" s="7" t="str">
        <f t="shared" ca="1" si="8"/>
        <v/>
      </c>
    </row>
    <row r="106" spans="2:37" ht="19.899999999999999" customHeight="1" x14ac:dyDescent="0.3">
      <c r="B106" s="74"/>
      <c r="C106" s="74"/>
    </row>
    <row r="107" spans="2:37" s="75" customFormat="1" ht="19.899999999999999" customHeight="1" x14ac:dyDescent="0.3">
      <c r="B107" s="211">
        <f ca="1">DATE(CalendarYear,6,1)</f>
        <v>46174</v>
      </c>
      <c r="C107" s="77"/>
      <c r="D107" s="9" t="str">
        <f ca="1">IF(DAY(JunSun1)=1,"",IF(AND(YEAR(JunSun1+1)=CalendarYear,MONTH(JunSun1+1)=6),JunSun1+1,""))</f>
        <v/>
      </c>
      <c r="E107" s="9">
        <f ca="1">IF(DAY(JunSun1)=1,"",IF(AND(YEAR(JunSun1+2)=CalendarYear,MONTH(JunSun1+2)=6),JunSun1+2,""))</f>
        <v>46174</v>
      </c>
      <c r="F107" s="9">
        <f ca="1">IF(DAY(JunSun1)=1,"",IF(AND(YEAR(JunSun1+3)=CalendarYear,MONTH(JunSun1+3)=6),JunSun1+3,""))</f>
        <v>46175</v>
      </c>
      <c r="G107" s="9">
        <f ca="1">IF(DAY(JunSun1)=1,"",IF(AND(YEAR(JunSun1+4)=CalendarYear,MONTH(JunSun1+4)=6),JunSun1+4,""))</f>
        <v>46176</v>
      </c>
      <c r="H107" s="9">
        <f ca="1">IF(DAY(JunSun1)=1,"",IF(AND(YEAR(JunSun1+5)=CalendarYear,MONTH(JunSun1+5)=6),JunSun1+5,""))</f>
        <v>46177</v>
      </c>
      <c r="I107" s="9">
        <f ca="1">IF(DAY(JunSun1)=1,"",IF(AND(YEAR(JunSun1+6)=CalendarYear,MONTH(JunSun1+6)=6),JunSun1+6,""))</f>
        <v>46178</v>
      </c>
      <c r="J107" s="9">
        <f ca="1">IF(DAY(JunSun1)=1,IF(AND(YEAR(JunSun1)=CalendarYear,MONTH(JunSun1)=6),JunSun1,""),IF(AND(YEAR(JunSun1+7)=CalendarYear,MONTH(JunSun1+7)=6),JunSun1+7,""))</f>
        <v>46179</v>
      </c>
      <c r="K107" s="9">
        <f ca="1">IF(DAY(JunSun1)=1,IF(AND(YEAR(JunSun1+1)=CalendarYear,MONTH(JunSun1+1)=6),JunSun1+1,""),IF(AND(YEAR(JunSun1+8)=CalendarYear,MONTH(JunSun1+8)=6),JunSun1+8,""))</f>
        <v>46180</v>
      </c>
      <c r="L107" s="9">
        <f ca="1">IF(DAY(JunSun1)=1,IF(AND(YEAR(JunSun1+2)=CalendarYear,MONTH(JunSun1+2)=6),JunSun1+2,""),IF(AND(YEAR(JunSun1+9)=CalendarYear,MONTH(JunSun1+9)=6),JunSun1+9,""))</f>
        <v>46181</v>
      </c>
      <c r="M107" s="9">
        <f ca="1">IF(DAY(JunSun1)=1,IF(AND(YEAR(JunSun1+4)=CalendarYear,MONTH(JunSun1+4)=6),JunSun1+4,""),IF(AND(YEAR(JunSun1+11)=CalendarYear,MONTH(JunSun1+11)=6),JunSun1+11,""))</f>
        <v>46183</v>
      </c>
      <c r="N107" s="9">
        <f ca="1">IF(DAY(JunSun1)=1,IF(AND(YEAR(JunSun1+5)=CalendarYear,MONTH(JunSun1+5)=6),JunSun1+5,""),IF(AND(YEAR(JunSun1+12)=CalendarYear,MONTH(JunSun1+12)=6),JunSun1+12,""))</f>
        <v>46184</v>
      </c>
      <c r="O107" s="9">
        <f ca="1">IF(DAY(JunSun1)=1,IF(AND(YEAR(JunSun1+6)=CalendarYear,MONTH(JunSun1+6)=6),JunSun1+6,""),IF(AND(YEAR(JunSun1+13)=CalendarYear,MONTH(JunSun1+13)=6),JunSun1+13,""))</f>
        <v>46185</v>
      </c>
      <c r="P107" s="9">
        <f ca="1">IF(DAY(JunSun1)=1,IF(AND(YEAR(JunSun1+7)=CalendarYear,MONTH(JunSun1+7)=6),JunSun1+7,""),IF(AND(YEAR(JunSun1+14)=CalendarYear,MONTH(JunSun1+14)=6),JunSun1+14,""))</f>
        <v>46186</v>
      </c>
      <c r="Q107" s="9">
        <f ca="1">IF(DAY(JunSun1)=1,IF(AND(YEAR(JunSun1+9)=CalendarYear,MONTH(JunSun1+9)=6),JunSun1+9,""),IF(AND(YEAR(JunSun1+16)=CalendarYear,MONTH(JunSun1+16)=6),JunSun1+16,""))</f>
        <v>46188</v>
      </c>
      <c r="R107" s="9">
        <f ca="1">IF(DAY(JunSun1)=1,IF(AND(YEAR(JunSun1+10)=CalendarYear,MONTH(JunSun1+10)=6),JunSun1+10,""),IF(AND(YEAR(JunSun1+17)=CalendarYear,MONTH(JunSun1+17)=6),JunSun1+17,""))</f>
        <v>46189</v>
      </c>
      <c r="S107" s="9">
        <f ca="1">IF(DAY(JunSun1)=1,IF(AND(YEAR(JunSun1+11)=CalendarYear,MONTH(JunSun1+11)=6),JunSun1+11,""),IF(AND(YEAR(JunSun1+18)=CalendarYear,MONTH(JunSun1+18)=6),JunSun1+18,""))</f>
        <v>46190</v>
      </c>
      <c r="T107" s="9">
        <f ca="1">IF(DAY(JunSun1)=1,IF(AND(YEAR(JunSun1+12)=CalendarYear,MONTH(JunSun1+12)=6),JunSun1+12,""),IF(AND(YEAR(JunSun1+19)=CalendarYear,MONTH(JunSun1+19)=6),JunSun1+19,""))</f>
        <v>46191</v>
      </c>
      <c r="U107" s="9">
        <f ca="1">IF(DAY(JunSun1)=1,IF(AND(YEAR(JunSun1+14)=CalendarYear,MONTH(JunSun1+14)=6),JunSun1+14,""),IF(AND(YEAR(JunSun1+21)=CalendarYear,MONTH(JunSun1+21)=6),JunSun1+21,""))</f>
        <v>46193</v>
      </c>
      <c r="V107" s="9">
        <f ca="1">IF(DAY(JunSun1)=1,IF(AND(YEAR(JunSun1+15)=CalendarYear,MONTH(JunSun1+15)=6),JunSun1+15,""),IF(AND(YEAR(JunSun1+22)=CalendarYear,MONTH(JunSun1+22)=6),JunSun1+22,""))</f>
        <v>46194</v>
      </c>
      <c r="W107" s="9">
        <f ca="1">IF(DAY(JunSun1)=1,IF(AND(YEAR(JunSun1+16)=CalendarYear,MONTH(JunSun1+16)=6),JunSun1+16,""),IF(AND(YEAR(JunSun1+23)=CalendarYear,MONTH(JunSun1+23)=6),JunSun1+23,""))</f>
        <v>46195</v>
      </c>
      <c r="X107" s="9">
        <f ca="1">IF(DAY(JunSun1)=1,IF(AND(YEAR(JunSun1+17)=CalendarYear,MONTH(JunSun1+17)=6),JunSun1+17,""),IF(AND(YEAR(JunSun1+24)=CalendarYear,MONTH(JunSun1+24)=6),JunSun1+24,""))</f>
        <v>46196</v>
      </c>
      <c r="Y107" s="9">
        <f ca="1">IF(DAY(JunSun1)=1,IF(AND(YEAR(JunSun1+18)=CalendarYear,MONTH(JunSun1+18)=6),JunSun1+18,""),IF(AND(YEAR(JunSun1+25)=CalendarYear,MONTH(JunSun1+25)=6),JunSun1+25,""))</f>
        <v>46197</v>
      </c>
      <c r="Z107" s="9">
        <f ca="1">IF(DAY(JunSun1)=1,IF(AND(YEAR(JunSun1+19)=CalendarYear,MONTH(JunSun1+19)=6),JunSun1+19,""),IF(AND(YEAR(JunSun1+26)=CalendarYear,MONTH(JunSun1+26)=6),JunSun1+26,""))</f>
        <v>46198</v>
      </c>
      <c r="AA107" s="9">
        <f ca="1">IF(DAY(JunSun1)=1,IF(AND(YEAR(JunSun1+20)=CalendarYear,MONTH(JunSun1+20)=6),JunSun1+20,""),IF(AND(YEAR(JunSun1+27)=CalendarYear,MONTH(JunSun1+27)=6),JunSun1+27,""))</f>
        <v>46199</v>
      </c>
      <c r="AB107" s="9">
        <f ca="1">IF(DAY(JunSun1)=1,IF(AND(YEAR(JunSun1+21)=CalendarYear,MONTH(JunSun1+21)=6),JunSun1+21,""),IF(AND(YEAR(JunSun1+28)=CalendarYear,MONTH(JunSun1+28)=6),JunSun1+28,""))</f>
        <v>46200</v>
      </c>
      <c r="AC107" s="9">
        <f ca="1">IF(DAY(JunSun1)=1,IF(AND(YEAR(JunSun1+22)=CalendarYear,MONTH(JunSun1+22)=6),JunSun1+22,""),IF(AND(YEAR(JunSun1+29)=CalendarYear,MONTH(JunSun1+29)=6),JunSun1+29,""))</f>
        <v>46201</v>
      </c>
      <c r="AD107" s="9">
        <f ca="1">IF(DAY(JunSun1)=1,IF(AND(YEAR(JunSun1+23)=CalendarYear,MONTH(JunSun1+23)=6),JunSun1+23,""),IF(AND(YEAR(JunSun1+30)=CalendarYear,MONTH(JunSun1+30)=6),JunSun1+30,""))</f>
        <v>46202</v>
      </c>
      <c r="AE107" s="9">
        <f ca="1">IF(DAY(JunSun1)=1,IF(AND(YEAR(JunSun1+24)=CalendarYear,MONTH(JunSun1+24)=6),JunSun1+24,""),IF(AND(YEAR(JunSun1+31)=CalendarYear,MONTH(JunSun1+31)=6),JunSun1+31,""))</f>
        <v>46203</v>
      </c>
      <c r="AF107" s="9" t="str">
        <f ca="1">IF(DAY(JunSun1)=1,IF(AND(YEAR(JunSun1+25)=CalendarYear,MONTH(JunSun1+25)=6),JunSun1+25,""),IF(AND(YEAR(JunSun1+32)=CalendarYear,MONTH(JunSun1+32)=6),JunSun1+32,""))</f>
        <v/>
      </c>
      <c r="AG107" s="9" t="str">
        <f ca="1">IF(DAY(JunSun1)=1,IF(AND(YEAR(JunSun1+26)=CalendarYear,MONTH(JunSun1+26)=6),JunSun1+26,""),IF(AND(YEAR(JunSun1+33)=CalendarYear,MONTH(JunSun1+33)=6),JunSun1+33,""))</f>
        <v/>
      </c>
      <c r="AH107" s="9" t="str">
        <f ca="1">IF(DAY(JunSun1)=1,IF(AND(YEAR(JunSun1+27)=CalendarYear,MONTH(JunSun1+27)=6),JunSun1+27,""),IF(AND(YEAR(JunSun1+34)=CalendarYear,MONTH(JunSun1+34)=6),JunSun1+34,""))</f>
        <v/>
      </c>
      <c r="AI107" s="9" t="str">
        <f ca="1">IF(DAY(JunSun1)=1,IF(AND(YEAR(JunSun1+28)=CalendarYear,MONTH(JunSun1+28)=6),JunSun1+28,""),IF(AND(YEAR(JunSun1+35)=CalendarYear,MONTH(JunSun1+35)=6),JunSun1+35,""))</f>
        <v/>
      </c>
      <c r="AJ107" s="9" t="str">
        <f ca="1">IF(DAY(JunSun1)=1,IF(AND(YEAR(JunSun1+29)=CalendarYear,MONTH(JunSun1+29)=6),JunSun1+29,""),IF(AND(YEAR(JunSun1+36)=CalendarYear,MONTH(JunSun1+36)=6),JunSun1+36,""))</f>
        <v/>
      </c>
      <c r="AK107" s="11" t="str">
        <f ca="1">IF(DAY(JunSun1)=1,IF(AND(YEAR(JunSun1+30)=CalendarYear,MONTH(JunSun1+30)=6),JunSun1+30,""),IF(AND(YEAR(JunSun1+37)=CalendarYear,MONTH(JunSun1+37)=6),JunSun1+37,""))</f>
        <v/>
      </c>
    </row>
    <row r="108" spans="2:37" s="75" customFormat="1" ht="19.899999999999999" customHeight="1" x14ac:dyDescent="0.3">
      <c r="B108" s="212"/>
      <c r="C108" s="78"/>
      <c r="D108" s="10" t="s">
        <v>15</v>
      </c>
      <c r="E108" s="10" t="s">
        <v>9</v>
      </c>
      <c r="F108" s="10" t="s">
        <v>10</v>
      </c>
      <c r="G108" s="10" t="s">
        <v>11</v>
      </c>
      <c r="H108" s="10" t="s">
        <v>16</v>
      </c>
      <c r="I108" s="10" t="s">
        <v>13</v>
      </c>
      <c r="J108" s="10" t="s">
        <v>14</v>
      </c>
      <c r="K108" s="10" t="s">
        <v>15</v>
      </c>
      <c r="L108" s="10" t="s">
        <v>9</v>
      </c>
      <c r="M108" s="10" t="s">
        <v>11</v>
      </c>
      <c r="N108" s="10" t="s">
        <v>16</v>
      </c>
      <c r="O108" s="10" t="s">
        <v>13</v>
      </c>
      <c r="P108" s="10" t="s">
        <v>14</v>
      </c>
      <c r="Q108" s="10" t="s">
        <v>9</v>
      </c>
      <c r="R108" s="10" t="s">
        <v>10</v>
      </c>
      <c r="S108" s="10" t="s">
        <v>11</v>
      </c>
      <c r="T108" s="10" t="s">
        <v>16</v>
      </c>
      <c r="U108" s="10" t="s">
        <v>14</v>
      </c>
      <c r="V108" s="10" t="s">
        <v>15</v>
      </c>
      <c r="W108" s="10" t="s">
        <v>9</v>
      </c>
      <c r="X108" s="10" t="s">
        <v>10</v>
      </c>
      <c r="Y108" s="10" t="s">
        <v>11</v>
      </c>
      <c r="Z108" s="10" t="s">
        <v>16</v>
      </c>
      <c r="AA108" s="10" t="s">
        <v>13</v>
      </c>
      <c r="AB108" s="10" t="s">
        <v>14</v>
      </c>
      <c r="AC108" s="10" t="s">
        <v>15</v>
      </c>
      <c r="AD108" s="10" t="s">
        <v>9</v>
      </c>
      <c r="AE108" s="10" t="s">
        <v>10</v>
      </c>
      <c r="AF108" s="10" t="s">
        <v>11</v>
      </c>
      <c r="AG108" s="10" t="s">
        <v>16</v>
      </c>
      <c r="AH108" s="10" t="s">
        <v>13</v>
      </c>
      <c r="AI108" s="10" t="s">
        <v>14</v>
      </c>
      <c r="AJ108" s="10" t="s">
        <v>15</v>
      </c>
      <c r="AK108" s="12" t="s">
        <v>9</v>
      </c>
    </row>
    <row r="109" spans="2:37" ht="19.899999999999999" customHeight="1" x14ac:dyDescent="0.3">
      <c r="B109" s="71" t="s">
        <v>174</v>
      </c>
      <c r="C109" s="71"/>
      <c r="D109" s="6" t="str">
        <f t="shared" ref="D109:AK109" ca="1" si="9">IF(OR(NOT(ISNUMBER(D107)),D107&lt;Job1_StartDate),"",IF(MID(Job1_Pattern,MOD(D107-Job1_StartDate,LEN(Job1_Pattern))+1,1)=Job1_Shift1_Code,1,IF(MID(Job1_Pattern,MOD(D107-Job1_StartDate,LEN(Job1_Pattern))+1,1)=Job1_Shift2_Code,2,IF(MID(Job1_Pattern,MOD(D107-Job1_StartDate,LEN(Job1_Pattern))+1,1)=Job1_Shift3_Code,3,""))))</f>
        <v/>
      </c>
      <c r="E109" s="6">
        <f t="shared" ca="1" si="9"/>
        <v>1</v>
      </c>
      <c r="F109" s="6" t="str">
        <f t="shared" ca="1" si="9"/>
        <v/>
      </c>
      <c r="G109" s="6" t="str">
        <f t="shared" ca="1" si="9"/>
        <v/>
      </c>
      <c r="H109" s="6" t="str">
        <f t="shared" ca="1" si="9"/>
        <v/>
      </c>
      <c r="I109" s="6">
        <f t="shared" ca="1" si="9"/>
        <v>1</v>
      </c>
      <c r="J109" s="6" t="str">
        <f t="shared" ca="1" si="9"/>
        <v/>
      </c>
      <c r="K109" s="6" t="str">
        <f t="shared" ca="1" si="9"/>
        <v/>
      </c>
      <c r="L109" s="6" t="str">
        <f t="shared" ca="1" si="9"/>
        <v/>
      </c>
      <c r="M109" s="6" t="str">
        <f t="shared" ca="1" si="9"/>
        <v/>
      </c>
      <c r="N109" s="6" t="str">
        <f t="shared" ca="1" si="9"/>
        <v/>
      </c>
      <c r="O109" s="6" t="str">
        <f t="shared" ca="1" si="9"/>
        <v/>
      </c>
      <c r="P109" s="6">
        <f t="shared" ca="1" si="9"/>
        <v>1</v>
      </c>
      <c r="Q109" s="6" t="str">
        <f t="shared" ca="1" si="9"/>
        <v/>
      </c>
      <c r="R109" s="6" t="str">
        <f t="shared" ca="1" si="9"/>
        <v/>
      </c>
      <c r="S109" s="6">
        <f t="shared" ca="1" si="9"/>
        <v>1</v>
      </c>
      <c r="T109" s="6" t="str">
        <f t="shared" ca="1" si="9"/>
        <v/>
      </c>
      <c r="U109" s="6" t="str">
        <f t="shared" ca="1" si="9"/>
        <v/>
      </c>
      <c r="V109" s="6">
        <f t="shared" ca="1" si="9"/>
        <v>1</v>
      </c>
      <c r="W109" s="6" t="str">
        <f t="shared" ca="1" si="9"/>
        <v/>
      </c>
      <c r="X109" s="6" t="str">
        <f t="shared" ca="1" si="9"/>
        <v/>
      </c>
      <c r="Y109" s="6" t="str">
        <f t="shared" ca="1" si="9"/>
        <v/>
      </c>
      <c r="Z109" s="6">
        <f t="shared" ca="1" si="9"/>
        <v>1</v>
      </c>
      <c r="AA109" s="6" t="str">
        <f t="shared" ca="1" si="9"/>
        <v/>
      </c>
      <c r="AB109" s="6" t="str">
        <f t="shared" ca="1" si="9"/>
        <v/>
      </c>
      <c r="AC109" s="6" t="str">
        <f t="shared" ca="1" si="9"/>
        <v/>
      </c>
      <c r="AD109" s="6">
        <f t="shared" ca="1" si="9"/>
        <v>1</v>
      </c>
      <c r="AE109" s="6" t="str">
        <f t="shared" ca="1" si="9"/>
        <v/>
      </c>
      <c r="AF109" s="6" t="str">
        <f t="shared" ca="1" si="9"/>
        <v/>
      </c>
      <c r="AG109" s="6" t="str">
        <f t="shared" ca="1" si="9"/>
        <v/>
      </c>
      <c r="AH109" s="6" t="str">
        <f t="shared" ca="1" si="9"/>
        <v/>
      </c>
      <c r="AI109" s="6" t="str">
        <f t="shared" ca="1" si="9"/>
        <v/>
      </c>
      <c r="AJ109" s="6" t="str">
        <f t="shared" ca="1" si="9"/>
        <v/>
      </c>
      <c r="AK109" s="6" t="str">
        <f t="shared" ca="1" si="9"/>
        <v/>
      </c>
    </row>
    <row r="110" spans="2:37" ht="19.899999999999999" customHeight="1" x14ac:dyDescent="0.3">
      <c r="B110" s="72" t="s">
        <v>175</v>
      </c>
      <c r="C110" s="72"/>
      <c r="D110" s="7" t="str">
        <f t="shared" ref="D110:AK110" ca="1" si="10">IF(OR(NOT(ISNUMBER(D107)),D107&lt;Job2_StartDate),"",IF(MID(Job2_Pattern,MOD(D107-Job2_StartDate,LEN(Job2_Pattern))+1,1)=Job2_Shift1_Code,1,IF(MID(Job2_Pattern,MOD(D107-Job2_StartDate,LEN(Job2_Pattern))+1,1)=Job2_Shift2_Code,2,IF(MID(Job2_Pattern,MOD(D107-Job2_StartDate,LEN(Job2_Pattern))+1,1)=Job2_Shift3_Code,3,""))))</f>
        <v/>
      </c>
      <c r="E110" s="7" t="str">
        <f t="shared" ca="1" si="10"/>
        <v/>
      </c>
      <c r="F110" s="7" t="str">
        <f t="shared" ca="1" si="10"/>
        <v/>
      </c>
      <c r="G110" s="7" t="str">
        <f t="shared" ca="1" si="10"/>
        <v/>
      </c>
      <c r="H110" s="7">
        <f t="shared" ca="1" si="10"/>
        <v>2</v>
      </c>
      <c r="I110" s="7" t="str">
        <f t="shared" ca="1" si="10"/>
        <v/>
      </c>
      <c r="J110" s="7" t="str">
        <f t="shared" ca="1" si="10"/>
        <v/>
      </c>
      <c r="K110" s="7" t="str">
        <f t="shared" ca="1" si="10"/>
        <v/>
      </c>
      <c r="L110" s="7">
        <f t="shared" ca="1" si="10"/>
        <v>2</v>
      </c>
      <c r="M110" s="7" t="str">
        <f t="shared" ca="1" si="10"/>
        <v/>
      </c>
      <c r="N110" s="7" t="str">
        <f t="shared" ca="1" si="10"/>
        <v/>
      </c>
      <c r="O110" s="7">
        <f t="shared" ca="1" si="10"/>
        <v>2</v>
      </c>
      <c r="P110" s="7" t="str">
        <f t="shared" ca="1" si="10"/>
        <v/>
      </c>
      <c r="Q110" s="7" t="str">
        <f t="shared" ca="1" si="10"/>
        <v/>
      </c>
      <c r="R110" s="7">
        <f t="shared" ca="1" si="10"/>
        <v>2</v>
      </c>
      <c r="S110" s="7" t="str">
        <f t="shared" ca="1" si="10"/>
        <v/>
      </c>
      <c r="T110" s="7" t="str">
        <f t="shared" ca="1" si="10"/>
        <v/>
      </c>
      <c r="U110" s="7">
        <f t="shared" ca="1" si="10"/>
        <v>2</v>
      </c>
      <c r="V110" s="7" t="str">
        <f t="shared" ca="1" si="10"/>
        <v/>
      </c>
      <c r="W110" s="7" t="str">
        <f t="shared" ca="1" si="10"/>
        <v/>
      </c>
      <c r="X110" s="7" t="str">
        <f t="shared" ca="1" si="10"/>
        <v/>
      </c>
      <c r="Y110" s="7">
        <f t="shared" ca="1" si="10"/>
        <v>2</v>
      </c>
      <c r="Z110" s="7" t="str">
        <f t="shared" ca="1" si="10"/>
        <v/>
      </c>
      <c r="AA110" s="7" t="str">
        <f t="shared" ca="1" si="10"/>
        <v/>
      </c>
      <c r="AB110" s="7" t="str">
        <f t="shared" ca="1" si="10"/>
        <v/>
      </c>
      <c r="AC110" s="7">
        <f t="shared" ca="1" si="10"/>
        <v>2</v>
      </c>
      <c r="AD110" s="7" t="str">
        <f t="shared" ca="1" si="10"/>
        <v/>
      </c>
      <c r="AE110" s="7" t="str">
        <f t="shared" ca="1" si="10"/>
        <v/>
      </c>
      <c r="AF110" s="7" t="str">
        <f t="shared" ca="1" si="10"/>
        <v/>
      </c>
      <c r="AG110" s="7" t="str">
        <f t="shared" ca="1" si="10"/>
        <v/>
      </c>
      <c r="AH110" s="7" t="str">
        <f t="shared" ca="1" si="10"/>
        <v/>
      </c>
      <c r="AI110" s="7" t="str">
        <f t="shared" ca="1" si="10"/>
        <v/>
      </c>
      <c r="AJ110" s="7" t="str">
        <f t="shared" ca="1" si="10"/>
        <v/>
      </c>
      <c r="AK110" s="7" t="str">
        <f t="shared" ca="1" si="10"/>
        <v/>
      </c>
    </row>
    <row r="111" spans="2:37" ht="19.899999999999999" customHeight="1" x14ac:dyDescent="0.3">
      <c r="B111" s="73" t="s">
        <v>177</v>
      </c>
      <c r="C111" s="73"/>
      <c r="D111" s="7" t="str">
        <f t="shared" ref="D111:AK111" ca="1" si="11">IF(OR(NOT(ISNUMBER(D107)),D107&lt;Job3_StartDate),"",IF(MID(Job3_Pattern,MOD(D107-Job3_StartDate,LEN(Job3_Pattern))+1,1)=Job3_Shift1_Code,1,IF(MID(Job3_Pattern,MOD(D107-Job3_StartDate,LEN(Job3_Pattern))+1,1)=Job3_Shift2_Code,2,IF(MID(Job3_Pattern,MOD(D107-Job3_StartDate,LEN(Job3_Pattern))+1,1)=Job3_Shift3_Code,3,""))))</f>
        <v/>
      </c>
      <c r="E111" s="7">
        <f t="shared" ca="1" si="11"/>
        <v>3</v>
      </c>
      <c r="F111" s="7" t="str">
        <f t="shared" ca="1" si="11"/>
        <v/>
      </c>
      <c r="G111" s="7" t="str">
        <f t="shared" ca="1" si="11"/>
        <v/>
      </c>
      <c r="H111" s="7" t="str">
        <f t="shared" ca="1" si="11"/>
        <v/>
      </c>
      <c r="I111" s="7">
        <f t="shared" ca="1" si="11"/>
        <v>3</v>
      </c>
      <c r="J111" s="7" t="str">
        <f t="shared" ca="1" si="11"/>
        <v/>
      </c>
      <c r="K111" s="7" t="str">
        <f t="shared" ca="1" si="11"/>
        <v/>
      </c>
      <c r="L111" s="7" t="str">
        <f t="shared" ca="1" si="11"/>
        <v/>
      </c>
      <c r="M111" s="7" t="str">
        <f t="shared" ca="1" si="11"/>
        <v/>
      </c>
      <c r="N111" s="7" t="str">
        <f t="shared" ca="1" si="11"/>
        <v/>
      </c>
      <c r="O111" s="7" t="str">
        <f t="shared" ca="1" si="11"/>
        <v/>
      </c>
      <c r="P111" s="7">
        <f t="shared" ca="1" si="11"/>
        <v>3</v>
      </c>
      <c r="Q111" s="7" t="str">
        <f t="shared" ca="1" si="11"/>
        <v/>
      </c>
      <c r="R111" s="7" t="str">
        <f t="shared" ca="1" si="11"/>
        <v/>
      </c>
      <c r="S111" s="7">
        <f t="shared" ca="1" si="11"/>
        <v>3</v>
      </c>
      <c r="T111" s="7" t="str">
        <f t="shared" ca="1" si="11"/>
        <v/>
      </c>
      <c r="U111" s="7" t="str">
        <f t="shared" ca="1" si="11"/>
        <v/>
      </c>
      <c r="V111" s="7">
        <f t="shared" ca="1" si="11"/>
        <v>3</v>
      </c>
      <c r="W111" s="7" t="str">
        <f t="shared" ca="1" si="11"/>
        <v/>
      </c>
      <c r="X111" s="7" t="str">
        <f t="shared" ca="1" si="11"/>
        <v/>
      </c>
      <c r="Y111" s="7" t="str">
        <f t="shared" ca="1" si="11"/>
        <v/>
      </c>
      <c r="Z111" s="7">
        <f t="shared" ca="1" si="11"/>
        <v>3</v>
      </c>
      <c r="AA111" s="7" t="str">
        <f t="shared" ca="1" si="11"/>
        <v/>
      </c>
      <c r="AB111" s="7" t="str">
        <f t="shared" ca="1" si="11"/>
        <v/>
      </c>
      <c r="AC111" s="7" t="str">
        <f t="shared" ca="1" si="11"/>
        <v/>
      </c>
      <c r="AD111" s="7">
        <f t="shared" ca="1" si="11"/>
        <v>3</v>
      </c>
      <c r="AE111" s="7" t="str">
        <f t="shared" ca="1" si="11"/>
        <v/>
      </c>
      <c r="AF111" s="7" t="str">
        <f t="shared" ca="1" si="11"/>
        <v/>
      </c>
      <c r="AG111" s="7" t="str">
        <f t="shared" ca="1" si="11"/>
        <v/>
      </c>
      <c r="AH111" s="7" t="str">
        <f t="shared" ca="1" si="11"/>
        <v/>
      </c>
      <c r="AI111" s="7" t="str">
        <f t="shared" ca="1" si="11"/>
        <v/>
      </c>
      <c r="AJ111" s="7" t="str">
        <f t="shared" ca="1" si="11"/>
        <v/>
      </c>
      <c r="AK111" s="7" t="str">
        <f t="shared" ca="1" si="11"/>
        <v/>
      </c>
    </row>
    <row r="112" spans="2:37" ht="19.899999999999999" customHeight="1" x14ac:dyDescent="0.3">
      <c r="B112" s="74"/>
      <c r="C112" s="74"/>
    </row>
    <row r="113" spans="2:37" s="75" customFormat="1" ht="19.899999999999999" customHeight="1" x14ac:dyDescent="0.3">
      <c r="B113" s="211">
        <f ca="1">DATE(CalendarYear,7,1)</f>
        <v>46204</v>
      </c>
      <c r="C113" s="77"/>
      <c r="D113" s="9" t="str">
        <f ca="1">IF(DAY(JulSun1)=1,"",IF(AND(YEAR(JulSun1+1)=CalendarYear,MONTH(JulSun1+1)=7),JulSun1+1,""))</f>
        <v/>
      </c>
      <c r="E113" s="9" t="str">
        <f ca="1">IF(DAY(JulSun1)=1,"",IF(AND(YEAR(JulSun1+2)=CalendarYear,MONTH(JulSun1+2)=7),JulSun1+2,""))</f>
        <v/>
      </c>
      <c r="F113" s="9" t="str">
        <f ca="1">IF(DAY(JulSun1)=1,"",IF(AND(YEAR(JulSun1+3)=CalendarYear,MONTH(JulSun1+3)=7),JulSun1+3,""))</f>
        <v/>
      </c>
      <c r="G113" s="9">
        <f ca="1">IF(DAY(JulSun1)=1,"",IF(AND(YEAR(JulSun1+4)=CalendarYear,MONTH(JulSun1+4)=7),JulSun1+4,""))</f>
        <v>46204</v>
      </c>
      <c r="H113" s="9">
        <f ca="1">IF(DAY(JulSun1)=1,"",IF(AND(YEAR(JulSun1+5)=CalendarYear,MONTH(JulSun1+5)=7),JulSun1+5,""))</f>
        <v>46205</v>
      </c>
      <c r="I113" s="9">
        <f ca="1">IF(DAY(JulSun1)=1,"",IF(AND(YEAR(JulSun1+6)=CalendarYear,MONTH(JulSun1+6)=7),JulSun1+6,""))</f>
        <v>46206</v>
      </c>
      <c r="J113" s="9">
        <f ca="1">IF(DAY(JulSun1)=1,IF(AND(YEAR(JulSun1)=CalendarYear,MONTH(JulSun1)=7),JulSun1,""),IF(AND(YEAR(JulSun1+7)=CalendarYear,MONTH(JulSun1+7)=7),JulSun1+7,""))</f>
        <v>46207</v>
      </c>
      <c r="K113" s="9">
        <f ca="1">IF(DAY(JulSun1)=1,IF(AND(YEAR(JulSun1+1)=CalendarYear,MONTH(JulSun1+1)=7),JulSun1+1,""),IF(AND(YEAR(JulSun1+8)=CalendarYear,MONTH(JulSun1+8)=7),JulSun1+8,""))</f>
        <v>46208</v>
      </c>
      <c r="L113" s="9">
        <f ca="1">IF(DAY(JulSun1)=1,IF(AND(YEAR(JulSun1+2)=CalendarYear,MONTH(JulSun1+2)=7),JulSun1+2,""),IF(AND(YEAR(JulSun1+9)=CalendarYear,MONTH(JulSun1+9)=7),JulSun1+9,""))</f>
        <v>46209</v>
      </c>
      <c r="M113" s="9">
        <f ca="1">IF(DAY(JulSun1)=1,IF(AND(YEAR(JulSun1+4)=CalendarYear,MONTH(JulSun1+4)=7),JulSun1+4,""),IF(AND(YEAR(JulSun1+11)=CalendarYear,MONTH(JulSun1+11)=7),JulSun1+11,""))</f>
        <v>46211</v>
      </c>
      <c r="N113" s="9">
        <f ca="1">IF(DAY(JulSun1)=1,IF(AND(YEAR(JulSun1+5)=CalendarYear,MONTH(JulSun1+5)=7),JulSun1+5,""),IF(AND(YEAR(JulSun1+12)=CalendarYear,MONTH(JulSun1+12)=7),JulSun1+12,""))</f>
        <v>46212</v>
      </c>
      <c r="O113" s="9">
        <f ca="1">IF(DAY(JulSun1)=1,IF(AND(YEAR(JulSun1+6)=CalendarYear,MONTH(JulSun1+6)=7),JulSun1+6,""),IF(AND(YEAR(JulSun1+13)=CalendarYear,MONTH(JulSun1+13)=7),JulSun1+13,""))</f>
        <v>46213</v>
      </c>
      <c r="P113" s="9">
        <f ca="1">IF(DAY(JulSun1)=1,IF(AND(YEAR(JulSun1+7)=CalendarYear,MONTH(JulSun1+7)=7),JulSun1+7,""),IF(AND(YEAR(JulSun1+14)=CalendarYear,MONTH(JulSun1+14)=7),JulSun1+14,""))</f>
        <v>46214</v>
      </c>
      <c r="Q113" s="9">
        <f ca="1">IF(DAY(JulSun1)=1,IF(AND(YEAR(JulSun1+9)=CalendarYear,MONTH(JulSun1+9)=7),JulSun1+9,""),IF(AND(YEAR(JulSun1+16)=CalendarYear,MONTH(JulSun1+16)=7),JulSun1+16,""))</f>
        <v>46216</v>
      </c>
      <c r="R113" s="9">
        <f ca="1">IF(DAY(JulSun1)=1,IF(AND(YEAR(JulSun1+10)=CalendarYear,MONTH(JulSun1+10)=7),JulSun1+10,""),IF(AND(YEAR(JulSun1+17)=CalendarYear,MONTH(JulSun1+17)=7),JulSun1+17,""))</f>
        <v>46217</v>
      </c>
      <c r="S113" s="9">
        <f ca="1">IF(DAY(JulSun1)=1,IF(AND(YEAR(JulSun1+11)=CalendarYear,MONTH(JulSun1+11)=7),JulSun1+11,""),IF(AND(YEAR(JulSun1+18)=CalendarYear,MONTH(JulSun1+18)=7),JulSun1+18,""))</f>
        <v>46218</v>
      </c>
      <c r="T113" s="9">
        <f ca="1">IF(DAY(JulSun1)=1,IF(AND(YEAR(JulSun1+12)=CalendarYear,MONTH(JulSun1+12)=7),JulSun1+12,""),IF(AND(YEAR(JulSun1+19)=CalendarYear,MONTH(JulSun1+19)=7),JulSun1+19,""))</f>
        <v>46219</v>
      </c>
      <c r="U113" s="9">
        <f ca="1">IF(DAY(JulSun1)=1,IF(AND(YEAR(JulSun1+14)=CalendarYear,MONTH(JulSun1+14)=7),JulSun1+14,""),IF(AND(YEAR(JulSun1+21)=CalendarYear,MONTH(JulSun1+21)=7),JulSun1+21,""))</f>
        <v>46221</v>
      </c>
      <c r="V113" s="9">
        <f ca="1">IF(DAY(JulSun1)=1,IF(AND(YEAR(JulSun1+15)=CalendarYear,MONTH(JulSun1+15)=7),JulSun1+15,""),IF(AND(YEAR(JulSun1+22)=CalendarYear,MONTH(JulSun1+22)=7),JulSun1+22,""))</f>
        <v>46222</v>
      </c>
      <c r="W113" s="9">
        <f ca="1">IF(DAY(JulSun1)=1,IF(AND(YEAR(JulSun1+16)=CalendarYear,MONTH(JulSun1+16)=7),JulSun1+16,""),IF(AND(YEAR(JulSun1+23)=CalendarYear,MONTH(JulSun1+23)=7),JulSun1+23,""))</f>
        <v>46223</v>
      </c>
      <c r="X113" s="9">
        <f ca="1">IF(DAY(JulSun1)=1,IF(AND(YEAR(JulSun1+17)=CalendarYear,MONTH(JulSun1+17)=7),JulSun1+17,""),IF(AND(YEAR(JulSun1+24)=CalendarYear,MONTH(JulSun1+24)=7),JulSun1+24,""))</f>
        <v>46224</v>
      </c>
      <c r="Y113" s="9">
        <f ca="1">IF(DAY(JulSun1)=1,IF(AND(YEAR(JulSun1+18)=CalendarYear,MONTH(JulSun1+18)=7),JulSun1+18,""),IF(AND(YEAR(JulSun1+25)=CalendarYear,MONTH(JulSun1+25)=7),JulSun1+25,""))</f>
        <v>46225</v>
      </c>
      <c r="Z113" s="9">
        <f ca="1">IF(DAY(JulSun1)=1,IF(AND(YEAR(JulSun1+19)=CalendarYear,MONTH(JulSun1+19)=7),JulSun1+19,""),IF(AND(YEAR(JulSun1+26)=CalendarYear,MONTH(JulSun1+26)=7),JulSun1+26,""))</f>
        <v>46226</v>
      </c>
      <c r="AA113" s="9">
        <f ca="1">IF(DAY(JulSun1)=1,IF(AND(YEAR(JulSun1+20)=CalendarYear,MONTH(JulSun1+20)=7),JulSun1+20,""),IF(AND(YEAR(JulSun1+27)=CalendarYear,MONTH(JulSun1+27)=7),JulSun1+27,""))</f>
        <v>46227</v>
      </c>
      <c r="AB113" s="9">
        <f ca="1">IF(DAY(JulSun1)=1,IF(AND(YEAR(JulSun1+21)=CalendarYear,MONTH(JulSun1+21)=7),JulSun1+21,""),IF(AND(YEAR(JulSun1+28)=CalendarYear,MONTH(JulSun1+28)=7),JulSun1+28,""))</f>
        <v>46228</v>
      </c>
      <c r="AC113" s="9">
        <f ca="1">IF(DAY(JulSun1)=1,IF(AND(YEAR(JulSun1+22)=CalendarYear,MONTH(JulSun1+22)=7),JulSun1+22,""),IF(AND(YEAR(JulSun1+29)=CalendarYear,MONTH(JulSun1+29)=7),JulSun1+29,""))</f>
        <v>46229</v>
      </c>
      <c r="AD113" s="9">
        <f ca="1">IF(DAY(JulSun1)=1,IF(AND(YEAR(JulSun1+23)=CalendarYear,MONTH(JulSun1+23)=7),JulSun1+23,""),IF(AND(YEAR(JulSun1+30)=CalendarYear,MONTH(JulSun1+30)=7),JulSun1+30,""))</f>
        <v>46230</v>
      </c>
      <c r="AE113" s="9">
        <f ca="1">IF(DAY(JulSun1)=1,IF(AND(YEAR(JulSun1+24)=CalendarYear,MONTH(JulSun1+24)=7),JulSun1+24,""),IF(AND(YEAR(JulSun1+31)=CalendarYear,MONTH(JulSun1+31)=7),JulSun1+31,""))</f>
        <v>46231</v>
      </c>
      <c r="AF113" s="9">
        <f ca="1">IF(DAY(JulSun1)=1,IF(AND(YEAR(JulSun1+25)=CalendarYear,MONTH(JulSun1+25)=7),JulSun1+25,""),IF(AND(YEAR(JulSun1+32)=CalendarYear,MONTH(JulSun1+32)=7),JulSun1+32,""))</f>
        <v>46232</v>
      </c>
      <c r="AG113" s="9">
        <f ca="1">IF(DAY(JulSun1)=1,IF(AND(YEAR(JulSun1+26)=CalendarYear,MONTH(JulSun1+26)=7),JulSun1+26,""),IF(AND(YEAR(JulSun1+33)=CalendarYear,MONTH(JulSun1+33)=7),JulSun1+33,""))</f>
        <v>46233</v>
      </c>
      <c r="AH113" s="9">
        <f ca="1">IF(DAY(JulSun1)=1,IF(AND(YEAR(JulSun1+27)=CalendarYear,MONTH(JulSun1+27)=7),JulSun1+27,""),IF(AND(YEAR(JulSun1+34)=CalendarYear,MONTH(JulSun1+34)=7),JulSun1+34,""))</f>
        <v>46234</v>
      </c>
      <c r="AI113" s="9" t="str">
        <f ca="1">IF(DAY(JulSun1)=1,IF(AND(YEAR(JulSun1+28)=CalendarYear,MONTH(JulSun1+28)=7),JulSun1+28,""),IF(AND(YEAR(JulSun1+35)=CalendarYear,MONTH(JulSun1+35)=7),JulSun1+35,""))</f>
        <v/>
      </c>
      <c r="AJ113" s="9" t="str">
        <f ca="1">IF(DAY(JulSun1)=1,IF(AND(YEAR(JulSun1+29)=CalendarYear,MONTH(JulSun1+29)=7),JulSun1+29,""),IF(AND(YEAR(JulSun1+36)=CalendarYear,MONTH(JulSun1+36)=7),JulSun1+36,""))</f>
        <v/>
      </c>
      <c r="AK113" s="11" t="str">
        <f ca="1">IF(DAY(JulSun1)=1,IF(AND(YEAR(JulSun1+30)=CalendarYear,MONTH(JulSun1+30)=7),JulSun1+30,""),IF(AND(YEAR(JulSun1+37)=CalendarYear,MONTH(JulSun1+37)=7),JulSun1+37,""))</f>
        <v/>
      </c>
    </row>
    <row r="114" spans="2:37" s="75" customFormat="1" ht="19.899999999999999" customHeight="1" x14ac:dyDescent="0.3">
      <c r="B114" s="212"/>
      <c r="C114" s="78"/>
      <c r="D114" s="10" t="s">
        <v>15</v>
      </c>
      <c r="E114" s="10" t="s">
        <v>9</v>
      </c>
      <c r="F114" s="10" t="s">
        <v>10</v>
      </c>
      <c r="G114" s="10" t="s">
        <v>11</v>
      </c>
      <c r="H114" s="10" t="s">
        <v>16</v>
      </c>
      <c r="I114" s="10" t="s">
        <v>13</v>
      </c>
      <c r="J114" s="10" t="s">
        <v>14</v>
      </c>
      <c r="K114" s="10" t="s">
        <v>15</v>
      </c>
      <c r="L114" s="10" t="s">
        <v>9</v>
      </c>
      <c r="M114" s="10" t="s">
        <v>11</v>
      </c>
      <c r="N114" s="10" t="s">
        <v>16</v>
      </c>
      <c r="O114" s="10" t="s">
        <v>13</v>
      </c>
      <c r="P114" s="10" t="s">
        <v>14</v>
      </c>
      <c r="Q114" s="10" t="s">
        <v>9</v>
      </c>
      <c r="R114" s="10" t="s">
        <v>10</v>
      </c>
      <c r="S114" s="10" t="s">
        <v>11</v>
      </c>
      <c r="T114" s="10" t="s">
        <v>16</v>
      </c>
      <c r="U114" s="10" t="s">
        <v>14</v>
      </c>
      <c r="V114" s="10" t="s">
        <v>15</v>
      </c>
      <c r="W114" s="10" t="s">
        <v>9</v>
      </c>
      <c r="X114" s="10" t="s">
        <v>10</v>
      </c>
      <c r="Y114" s="10" t="s">
        <v>11</v>
      </c>
      <c r="Z114" s="10" t="s">
        <v>16</v>
      </c>
      <c r="AA114" s="10" t="s">
        <v>13</v>
      </c>
      <c r="AB114" s="10" t="s">
        <v>14</v>
      </c>
      <c r="AC114" s="10" t="s">
        <v>15</v>
      </c>
      <c r="AD114" s="10" t="s">
        <v>9</v>
      </c>
      <c r="AE114" s="10" t="s">
        <v>10</v>
      </c>
      <c r="AF114" s="10" t="s">
        <v>11</v>
      </c>
      <c r="AG114" s="10" t="s">
        <v>16</v>
      </c>
      <c r="AH114" s="10" t="s">
        <v>13</v>
      </c>
      <c r="AI114" s="10" t="s">
        <v>14</v>
      </c>
      <c r="AJ114" s="10" t="s">
        <v>15</v>
      </c>
      <c r="AK114" s="12" t="s">
        <v>9</v>
      </c>
    </row>
    <row r="115" spans="2:37" ht="19.899999999999999" customHeight="1" x14ac:dyDescent="0.3">
      <c r="B115" s="71" t="s">
        <v>174</v>
      </c>
      <c r="C115" s="71"/>
      <c r="D115" s="6" t="str">
        <f t="shared" ref="D115:AK115" ca="1" si="12">IF(OR(NOT(ISNUMBER(D113)),D113&lt;Job1_StartDate),"",IF(MID(Job1_Pattern,MOD(D113-Job1_StartDate,LEN(Job1_Pattern))+1,1)=Job1_Shift1_Code,1,IF(MID(Job1_Pattern,MOD(D113-Job1_StartDate,LEN(Job1_Pattern))+1,1)=Job1_Shift2_Code,2,IF(MID(Job1_Pattern,MOD(D113-Job1_StartDate,LEN(Job1_Pattern))+1,1)=Job1_Shift3_Code,3,""))))</f>
        <v/>
      </c>
      <c r="E115" s="6" t="str">
        <f t="shared" ca="1" si="12"/>
        <v/>
      </c>
      <c r="F115" s="6" t="str">
        <f t="shared" ca="1" si="12"/>
        <v/>
      </c>
      <c r="G115" s="6" t="str">
        <f t="shared" ca="1" si="12"/>
        <v/>
      </c>
      <c r="H115" s="6" t="str">
        <f t="shared" ca="1" si="12"/>
        <v/>
      </c>
      <c r="I115" s="6">
        <f t="shared" ca="1" si="12"/>
        <v>1</v>
      </c>
      <c r="J115" s="6" t="str">
        <f t="shared" ca="1" si="12"/>
        <v/>
      </c>
      <c r="K115" s="6" t="str">
        <f t="shared" ca="1" si="12"/>
        <v/>
      </c>
      <c r="L115" s="6" t="str">
        <f t="shared" ca="1" si="12"/>
        <v/>
      </c>
      <c r="M115" s="6" t="str">
        <f t="shared" ca="1" si="12"/>
        <v/>
      </c>
      <c r="N115" s="6" t="str">
        <f t="shared" ca="1" si="12"/>
        <v/>
      </c>
      <c r="O115" s="6" t="str">
        <f t="shared" ca="1" si="12"/>
        <v/>
      </c>
      <c r="P115" s="6">
        <f t="shared" ca="1" si="12"/>
        <v>1</v>
      </c>
      <c r="Q115" s="6" t="str">
        <f t="shared" ca="1" si="12"/>
        <v/>
      </c>
      <c r="R115" s="6" t="str">
        <f t="shared" ca="1" si="12"/>
        <v/>
      </c>
      <c r="S115" s="6">
        <f t="shared" ca="1" si="12"/>
        <v>1</v>
      </c>
      <c r="T115" s="6" t="str">
        <f t="shared" ca="1" si="12"/>
        <v/>
      </c>
      <c r="U115" s="6" t="str">
        <f t="shared" ca="1" si="12"/>
        <v/>
      </c>
      <c r="V115" s="6">
        <f t="shared" ca="1" si="12"/>
        <v>1</v>
      </c>
      <c r="W115" s="6" t="str">
        <f t="shared" ca="1" si="12"/>
        <v/>
      </c>
      <c r="X115" s="6" t="str">
        <f t="shared" ca="1" si="12"/>
        <v/>
      </c>
      <c r="Y115" s="6" t="str">
        <f t="shared" ca="1" si="12"/>
        <v/>
      </c>
      <c r="Z115" s="6">
        <f t="shared" ca="1" si="12"/>
        <v>1</v>
      </c>
      <c r="AA115" s="6" t="str">
        <f t="shared" ca="1" si="12"/>
        <v/>
      </c>
      <c r="AB115" s="6" t="str">
        <f t="shared" ca="1" si="12"/>
        <v/>
      </c>
      <c r="AC115" s="6" t="str">
        <f t="shared" ca="1" si="12"/>
        <v/>
      </c>
      <c r="AD115" s="6">
        <f t="shared" ca="1" si="12"/>
        <v>1</v>
      </c>
      <c r="AE115" s="6" t="str">
        <f t="shared" ca="1" si="12"/>
        <v/>
      </c>
      <c r="AF115" s="6" t="str">
        <f t="shared" ca="1" si="12"/>
        <v/>
      </c>
      <c r="AG115" s="6" t="str">
        <f t="shared" ca="1" si="12"/>
        <v/>
      </c>
      <c r="AH115" s="6">
        <f t="shared" ca="1" si="12"/>
        <v>1</v>
      </c>
      <c r="AI115" s="6" t="str">
        <f t="shared" ca="1" si="12"/>
        <v/>
      </c>
      <c r="AJ115" s="6" t="str">
        <f t="shared" ca="1" si="12"/>
        <v/>
      </c>
      <c r="AK115" s="6" t="str">
        <f t="shared" ca="1" si="12"/>
        <v/>
      </c>
    </row>
    <row r="116" spans="2:37" ht="19.899999999999999" customHeight="1" x14ac:dyDescent="0.3">
      <c r="B116" s="72" t="s">
        <v>175</v>
      </c>
      <c r="C116" s="72"/>
      <c r="D116" s="7" t="str">
        <f t="shared" ref="D116:AK116" ca="1" si="13">IF(OR(NOT(ISNUMBER(D113)),D113&lt;Job2_StartDate),"",IF(MID(Job2_Pattern,MOD(D113-Job2_StartDate,LEN(Job2_Pattern))+1,1)=Job2_Shift1_Code,1,IF(MID(Job2_Pattern,MOD(D113-Job2_StartDate,LEN(Job2_Pattern))+1,1)=Job2_Shift2_Code,2,IF(MID(Job2_Pattern,MOD(D113-Job2_StartDate,LEN(Job2_Pattern))+1,1)=Job2_Shift3_Code,3,""))))</f>
        <v/>
      </c>
      <c r="E116" s="7" t="str">
        <f t="shared" ca="1" si="13"/>
        <v/>
      </c>
      <c r="F116" s="7" t="str">
        <f t="shared" ca="1" si="13"/>
        <v/>
      </c>
      <c r="G116" s="7" t="str">
        <f t="shared" ca="1" si="13"/>
        <v/>
      </c>
      <c r="H116" s="7">
        <f t="shared" ca="1" si="13"/>
        <v>2</v>
      </c>
      <c r="I116" s="7" t="str">
        <f t="shared" ca="1" si="13"/>
        <v/>
      </c>
      <c r="J116" s="7" t="str">
        <f t="shared" ca="1" si="13"/>
        <v/>
      </c>
      <c r="K116" s="7" t="str">
        <f t="shared" ca="1" si="13"/>
        <v/>
      </c>
      <c r="L116" s="7">
        <f t="shared" ca="1" si="13"/>
        <v>2</v>
      </c>
      <c r="M116" s="7" t="str">
        <f t="shared" ca="1" si="13"/>
        <v/>
      </c>
      <c r="N116" s="7" t="str">
        <f t="shared" ca="1" si="13"/>
        <v/>
      </c>
      <c r="O116" s="7">
        <f t="shared" ca="1" si="13"/>
        <v>2</v>
      </c>
      <c r="P116" s="7" t="str">
        <f t="shared" ca="1" si="13"/>
        <v/>
      </c>
      <c r="Q116" s="7" t="str">
        <f t="shared" ca="1" si="13"/>
        <v/>
      </c>
      <c r="R116" s="7">
        <f t="shared" ca="1" si="13"/>
        <v>2</v>
      </c>
      <c r="S116" s="7" t="str">
        <f t="shared" ca="1" si="13"/>
        <v/>
      </c>
      <c r="T116" s="7" t="str">
        <f t="shared" ca="1" si="13"/>
        <v/>
      </c>
      <c r="U116" s="7">
        <f t="shared" ca="1" si="13"/>
        <v>2</v>
      </c>
      <c r="V116" s="7" t="str">
        <f t="shared" ca="1" si="13"/>
        <v/>
      </c>
      <c r="W116" s="7" t="str">
        <f t="shared" ca="1" si="13"/>
        <v/>
      </c>
      <c r="X116" s="7" t="str">
        <f t="shared" ca="1" si="13"/>
        <v/>
      </c>
      <c r="Y116" s="7">
        <f t="shared" ca="1" si="13"/>
        <v>2</v>
      </c>
      <c r="Z116" s="7" t="str">
        <f t="shared" ca="1" si="13"/>
        <v/>
      </c>
      <c r="AA116" s="7" t="str">
        <f t="shared" ca="1" si="13"/>
        <v/>
      </c>
      <c r="AB116" s="7" t="str">
        <f t="shared" ca="1" si="13"/>
        <v/>
      </c>
      <c r="AC116" s="7">
        <f t="shared" ca="1" si="13"/>
        <v>2</v>
      </c>
      <c r="AD116" s="7" t="str">
        <f t="shared" ca="1" si="13"/>
        <v/>
      </c>
      <c r="AE116" s="7" t="str">
        <f t="shared" ca="1" si="13"/>
        <v/>
      </c>
      <c r="AF116" s="7" t="str">
        <f t="shared" ca="1" si="13"/>
        <v/>
      </c>
      <c r="AG116" s="7">
        <f t="shared" ca="1" si="13"/>
        <v>2</v>
      </c>
      <c r="AH116" s="7" t="str">
        <f t="shared" ca="1" si="13"/>
        <v/>
      </c>
      <c r="AI116" s="7" t="str">
        <f t="shared" ca="1" si="13"/>
        <v/>
      </c>
      <c r="AJ116" s="7" t="str">
        <f t="shared" ca="1" si="13"/>
        <v/>
      </c>
      <c r="AK116" s="7" t="str">
        <f t="shared" ca="1" si="13"/>
        <v/>
      </c>
    </row>
    <row r="117" spans="2:37" ht="19.899999999999999" customHeight="1" x14ac:dyDescent="0.3">
      <c r="B117" s="73" t="s">
        <v>177</v>
      </c>
      <c r="C117" s="73"/>
      <c r="D117" s="7" t="str">
        <f t="shared" ref="D117:AK117" ca="1" si="14">IF(OR(NOT(ISNUMBER(D113)),D113&lt;Job3_StartDate),"",IF(MID(Job3_Pattern,MOD(D113-Job3_StartDate,LEN(Job3_Pattern))+1,1)=Job3_Shift1_Code,1,IF(MID(Job3_Pattern,MOD(D113-Job3_StartDate,LEN(Job3_Pattern))+1,1)=Job3_Shift2_Code,2,IF(MID(Job3_Pattern,MOD(D113-Job3_StartDate,LEN(Job3_Pattern))+1,1)=Job3_Shift3_Code,3,""))))</f>
        <v/>
      </c>
      <c r="E117" s="7" t="str">
        <f t="shared" ca="1" si="14"/>
        <v/>
      </c>
      <c r="F117" s="7" t="str">
        <f t="shared" ca="1" si="14"/>
        <v/>
      </c>
      <c r="G117" s="7" t="str">
        <f t="shared" ca="1" si="14"/>
        <v/>
      </c>
      <c r="H117" s="7" t="str">
        <f t="shared" ca="1" si="14"/>
        <v/>
      </c>
      <c r="I117" s="7">
        <f t="shared" ca="1" si="14"/>
        <v>3</v>
      </c>
      <c r="J117" s="7" t="str">
        <f t="shared" ca="1" si="14"/>
        <v/>
      </c>
      <c r="K117" s="7" t="str">
        <f t="shared" ca="1" si="14"/>
        <v/>
      </c>
      <c r="L117" s="7" t="str">
        <f t="shared" ca="1" si="14"/>
        <v/>
      </c>
      <c r="M117" s="7" t="str">
        <f t="shared" ca="1" si="14"/>
        <v/>
      </c>
      <c r="N117" s="7" t="str">
        <f t="shared" ca="1" si="14"/>
        <v/>
      </c>
      <c r="O117" s="7" t="str">
        <f t="shared" ca="1" si="14"/>
        <v/>
      </c>
      <c r="P117" s="7">
        <f t="shared" ca="1" si="14"/>
        <v>3</v>
      </c>
      <c r="Q117" s="7" t="str">
        <f t="shared" ca="1" si="14"/>
        <v/>
      </c>
      <c r="R117" s="7" t="str">
        <f t="shared" ca="1" si="14"/>
        <v/>
      </c>
      <c r="S117" s="7">
        <f t="shared" ca="1" si="14"/>
        <v>3</v>
      </c>
      <c r="T117" s="7" t="str">
        <f t="shared" ca="1" si="14"/>
        <v/>
      </c>
      <c r="U117" s="7" t="str">
        <f t="shared" ca="1" si="14"/>
        <v/>
      </c>
      <c r="V117" s="7">
        <f t="shared" ca="1" si="14"/>
        <v>3</v>
      </c>
      <c r="W117" s="7" t="str">
        <f t="shared" ca="1" si="14"/>
        <v/>
      </c>
      <c r="X117" s="7" t="str">
        <f t="shared" ca="1" si="14"/>
        <v/>
      </c>
      <c r="Y117" s="7" t="str">
        <f t="shared" ca="1" si="14"/>
        <v/>
      </c>
      <c r="Z117" s="7">
        <f t="shared" ca="1" si="14"/>
        <v>3</v>
      </c>
      <c r="AA117" s="7" t="str">
        <f t="shared" ca="1" si="14"/>
        <v/>
      </c>
      <c r="AB117" s="7" t="str">
        <f t="shared" ca="1" si="14"/>
        <v/>
      </c>
      <c r="AC117" s="7" t="str">
        <f t="shared" ca="1" si="14"/>
        <v/>
      </c>
      <c r="AD117" s="7">
        <f t="shared" ca="1" si="14"/>
        <v>3</v>
      </c>
      <c r="AE117" s="7" t="str">
        <f t="shared" ca="1" si="14"/>
        <v/>
      </c>
      <c r="AF117" s="7" t="str">
        <f t="shared" ca="1" si="14"/>
        <v/>
      </c>
      <c r="AG117" s="7" t="str">
        <f t="shared" ca="1" si="14"/>
        <v/>
      </c>
      <c r="AH117" s="7">
        <f t="shared" ca="1" si="14"/>
        <v>3</v>
      </c>
      <c r="AI117" s="7" t="str">
        <f t="shared" ca="1" si="14"/>
        <v/>
      </c>
      <c r="AJ117" s="7" t="str">
        <f t="shared" ca="1" si="14"/>
        <v/>
      </c>
      <c r="AK117" s="7" t="str">
        <f t="shared" ca="1" si="14"/>
        <v/>
      </c>
    </row>
    <row r="118" spans="2:37" ht="19.899999999999999" customHeight="1" x14ac:dyDescent="0.3">
      <c r="B118" s="74"/>
      <c r="C118" s="74"/>
    </row>
    <row r="119" spans="2:37" s="75" customFormat="1" ht="19.899999999999999" customHeight="1" x14ac:dyDescent="0.3">
      <c r="B119" s="211">
        <f ca="1">DATE(CalendarYear,8,1)</f>
        <v>46235</v>
      </c>
      <c r="C119" s="77"/>
      <c r="D119" s="9" t="str">
        <f ca="1">IF(DAY(AugSun1)=1,"",IF(AND(YEAR(AugSun1+1)=CalendarYear,MONTH(AugSun1+1)=8),AugSun1+1,""))</f>
        <v/>
      </c>
      <c r="E119" s="9" t="str">
        <f ca="1">IF(DAY(AugSun1)=1,"",IF(AND(YEAR(AugSun1+2)=CalendarYear,MONTH(AugSun1+2)=8),AugSun1+2,""))</f>
        <v/>
      </c>
      <c r="F119" s="9" t="str">
        <f ca="1">IF(DAY(AugSun1)=1,"",IF(AND(YEAR(AugSun1+3)=CalendarYear,MONTH(AugSun1+3)=8),AugSun1+3,""))</f>
        <v/>
      </c>
      <c r="G119" s="9" t="str">
        <f ca="1">IF(DAY(AugSun1)=1,"",IF(AND(YEAR(AugSun1+4)=CalendarYear,MONTH(AugSun1+4)=8),AugSun1+4,""))</f>
        <v/>
      </c>
      <c r="H119" s="9" t="str">
        <f ca="1">IF(DAY(AugSun1)=1,"",IF(AND(YEAR(AugSun1+5)=CalendarYear,MONTH(AugSun1+5)=8),AugSun1+5,""))</f>
        <v/>
      </c>
      <c r="I119" s="9" t="str">
        <f ca="1">IF(DAY(AugSun1)=1,"",IF(AND(YEAR(AugSun1+6)=CalendarYear,MONTH(AugSun1+6)=8),AugSun1+6,""))</f>
        <v/>
      </c>
      <c r="J119" s="9">
        <f ca="1">IF(DAY(AugSun1)=1,IF(AND(YEAR(AugSun1)=CalendarYear,MONTH(AugSun1)=8),AugSun1,""),IF(AND(YEAR(AugSun1+7)=CalendarYear,MONTH(AugSun1+7)=8),AugSun1+7,""))</f>
        <v>46235</v>
      </c>
      <c r="K119" s="9">
        <f ca="1">IF(DAY(AugSun1)=1,IF(AND(YEAR(AugSun1+1)=CalendarYear,MONTH(AugSun1+1)=8),AugSun1+1,""),IF(AND(YEAR(AugSun1+8)=CalendarYear,MONTH(AugSun1+8)=8),AugSun1+8,""))</f>
        <v>46236</v>
      </c>
      <c r="L119" s="9">
        <f ca="1">IF(DAY(AugSun1)=1,IF(AND(YEAR(AugSun1+2)=CalendarYear,MONTH(AugSun1+2)=8),AugSun1+2,""),IF(AND(YEAR(AugSun1+9)=CalendarYear,MONTH(AugSun1+9)=8),AugSun1+9,""))</f>
        <v>46237</v>
      </c>
      <c r="M119" s="9">
        <f ca="1">IF(DAY(AugSun1)=1,IF(AND(YEAR(AugSun1+4)=CalendarYear,MONTH(AugSun1+4)=8),AugSun1+4,""),IF(AND(YEAR(AugSun1+11)=CalendarYear,MONTH(AugSun1+11)=8),AugSun1+11,""))</f>
        <v>46239</v>
      </c>
      <c r="N119" s="9">
        <f ca="1">IF(DAY(AugSun1)=1,IF(AND(YEAR(AugSun1+5)=CalendarYear,MONTH(AugSun1+5)=8),AugSun1+5,""),IF(AND(YEAR(AugSun1+12)=CalendarYear,MONTH(AugSun1+12)=8),AugSun1+12,""))</f>
        <v>46240</v>
      </c>
      <c r="O119" s="9">
        <f ca="1">IF(DAY(AugSun1)=1,IF(AND(YEAR(AugSun1+6)=CalendarYear,MONTH(AugSun1+6)=8),AugSun1+6,""),IF(AND(YEAR(AugSun1+13)=CalendarYear,MONTH(AugSun1+13)=8),AugSun1+13,""))</f>
        <v>46241</v>
      </c>
      <c r="P119" s="9">
        <f ca="1">IF(DAY(AugSun1)=1,IF(AND(YEAR(AugSun1+7)=CalendarYear,MONTH(AugSun1+7)=8),AugSun1+7,""),IF(AND(YEAR(AugSun1+14)=CalendarYear,MONTH(AugSun1+14)=8),AugSun1+14,""))</f>
        <v>46242</v>
      </c>
      <c r="Q119" s="9">
        <f ca="1">IF(DAY(AugSun1)=1,IF(AND(YEAR(AugSun1+9)=CalendarYear,MONTH(AugSun1+9)=8),AugSun1+9,""),IF(AND(YEAR(AugSun1+16)=CalendarYear,MONTH(AugSun1+16)=8),AugSun1+16,""))</f>
        <v>46244</v>
      </c>
      <c r="R119" s="9">
        <f ca="1">IF(DAY(AugSun1)=1,IF(AND(YEAR(AugSun1+10)=CalendarYear,MONTH(AugSun1+10)=8),AugSun1+10,""),IF(AND(YEAR(AugSun1+17)=CalendarYear,MONTH(AugSun1+17)=8),AugSun1+17,""))</f>
        <v>46245</v>
      </c>
      <c r="S119" s="9">
        <f ca="1">IF(DAY(AugSun1)=1,IF(AND(YEAR(AugSun1+11)=CalendarYear,MONTH(AugSun1+11)=8),AugSun1+11,""),IF(AND(YEAR(AugSun1+18)=CalendarYear,MONTH(AugSun1+18)=8),AugSun1+18,""))</f>
        <v>46246</v>
      </c>
      <c r="T119" s="9">
        <f ca="1">IF(DAY(AugSun1)=1,IF(AND(YEAR(AugSun1+12)=CalendarYear,MONTH(AugSun1+12)=8),AugSun1+12,""),IF(AND(YEAR(AugSun1+19)=CalendarYear,MONTH(AugSun1+19)=8),AugSun1+19,""))</f>
        <v>46247</v>
      </c>
      <c r="U119" s="9">
        <f ca="1">IF(DAY(AugSun1)=1,IF(AND(YEAR(AugSun1+14)=CalendarYear,MONTH(AugSun1+14)=8),AugSun1+14,""),IF(AND(YEAR(AugSun1+21)=CalendarYear,MONTH(AugSun1+21)=8),AugSun1+21,""))</f>
        <v>46249</v>
      </c>
      <c r="V119" s="9">
        <f ca="1">IF(DAY(AugSun1)=1,IF(AND(YEAR(AugSun1+15)=CalendarYear,MONTH(AugSun1+15)=8),AugSun1+15,""),IF(AND(YEAR(AugSun1+22)=CalendarYear,MONTH(AugSun1+22)=8),AugSun1+22,""))</f>
        <v>46250</v>
      </c>
      <c r="W119" s="9">
        <f ca="1">IF(DAY(AugSun1)=1,IF(AND(YEAR(AugSun1+16)=CalendarYear,MONTH(AugSun1+16)=8),AugSun1+16,""),IF(AND(YEAR(AugSun1+23)=CalendarYear,MONTH(AugSun1+23)=8),AugSun1+23,""))</f>
        <v>46251</v>
      </c>
      <c r="X119" s="9">
        <f ca="1">IF(DAY(AugSun1)=1,IF(AND(YEAR(AugSun1+17)=CalendarYear,MONTH(AugSun1+17)=8),AugSun1+17,""),IF(AND(YEAR(AugSun1+24)=CalendarYear,MONTH(AugSun1+24)=8),AugSun1+24,""))</f>
        <v>46252</v>
      </c>
      <c r="Y119" s="9">
        <f ca="1">IF(DAY(AugSun1)=1,IF(AND(YEAR(AugSun1+18)=CalendarYear,MONTH(AugSun1+18)=8),AugSun1+18,""),IF(AND(YEAR(AugSun1+25)=CalendarYear,MONTH(AugSun1+25)=8),AugSun1+25,""))</f>
        <v>46253</v>
      </c>
      <c r="Z119" s="9">
        <f ca="1">IF(DAY(AugSun1)=1,IF(AND(YEAR(AugSun1+19)=CalendarYear,MONTH(AugSun1+19)=8),AugSun1+19,""),IF(AND(YEAR(AugSun1+26)=CalendarYear,MONTH(AugSun1+26)=8),AugSun1+26,""))</f>
        <v>46254</v>
      </c>
      <c r="AA119" s="9">
        <f ca="1">IF(DAY(AugSun1)=1,IF(AND(YEAR(AugSun1+20)=CalendarYear,MONTH(AugSun1+20)=8),AugSun1+20,""),IF(AND(YEAR(AugSun1+27)=CalendarYear,MONTH(AugSun1+27)=8),AugSun1+27,""))</f>
        <v>46255</v>
      </c>
      <c r="AB119" s="9">
        <f ca="1">IF(DAY(AugSun1)=1,IF(AND(YEAR(AugSun1+21)=CalendarYear,MONTH(AugSun1+21)=8),AugSun1+21,""),IF(AND(YEAR(AugSun1+28)=CalendarYear,MONTH(AugSun1+28)=8),AugSun1+28,""))</f>
        <v>46256</v>
      </c>
      <c r="AC119" s="9">
        <f ca="1">IF(DAY(AugSun1)=1,IF(AND(YEAR(AugSun1+22)=CalendarYear,MONTH(AugSun1+22)=8),AugSun1+22,""),IF(AND(YEAR(AugSun1+29)=CalendarYear,MONTH(AugSun1+29)=8),AugSun1+29,""))</f>
        <v>46257</v>
      </c>
      <c r="AD119" s="9">
        <f ca="1">IF(DAY(AugSun1)=1,IF(AND(YEAR(AugSun1+23)=CalendarYear,MONTH(AugSun1+23)=8),AugSun1+23,""),IF(AND(YEAR(AugSun1+30)=CalendarYear,MONTH(AugSun1+30)=8),AugSun1+30,""))</f>
        <v>46258</v>
      </c>
      <c r="AE119" s="9">
        <f ca="1">IF(DAY(AugSun1)=1,IF(AND(YEAR(AugSun1+24)=CalendarYear,MONTH(AugSun1+24)=8),AugSun1+24,""),IF(AND(YEAR(AugSun1+31)=CalendarYear,MONTH(AugSun1+31)=8),AugSun1+31,""))</f>
        <v>46259</v>
      </c>
      <c r="AF119" s="9">
        <f ca="1">IF(DAY(AugSun1)=1,IF(AND(YEAR(AugSun1+25)=CalendarYear,MONTH(AugSun1+25)=8),AugSun1+25,""),IF(AND(YEAR(AugSun1+32)=CalendarYear,MONTH(AugSun1+32)=8),AugSun1+32,""))</f>
        <v>46260</v>
      </c>
      <c r="AG119" s="9">
        <f ca="1">IF(DAY(AugSun1)=1,IF(AND(YEAR(AugSun1+26)=CalendarYear,MONTH(AugSun1+26)=8),AugSun1+26,""),IF(AND(YEAR(AugSun1+33)=CalendarYear,MONTH(AugSun1+33)=8),AugSun1+33,""))</f>
        <v>46261</v>
      </c>
      <c r="AH119" s="9">
        <f ca="1">IF(DAY(AugSun1)=1,IF(AND(YEAR(AugSun1+27)=CalendarYear,MONTH(AugSun1+27)=8),AugSun1+27,""),IF(AND(YEAR(AugSun1+34)=CalendarYear,MONTH(AugSun1+34)=8),AugSun1+34,""))</f>
        <v>46262</v>
      </c>
      <c r="AI119" s="9">
        <f ca="1">IF(DAY(AugSun1)=1,IF(AND(YEAR(AugSun1+28)=CalendarYear,MONTH(AugSun1+28)=8),AugSun1+28,""),IF(AND(YEAR(AugSun1+35)=CalendarYear,MONTH(AugSun1+35)=8),AugSun1+35,""))</f>
        <v>46263</v>
      </c>
      <c r="AJ119" s="9">
        <f ca="1">IF(DAY(AugSun1)=1,IF(AND(YEAR(AugSun1+29)=CalendarYear,MONTH(AugSun1+29)=8),AugSun1+29,""),IF(AND(YEAR(AugSun1+36)=CalendarYear,MONTH(AugSun1+36)=8),AugSun1+36,""))</f>
        <v>46264</v>
      </c>
      <c r="AK119" s="11">
        <f ca="1">IF(DAY(AugSun1)=1,IF(AND(YEAR(AugSun1+30)=CalendarYear,MONTH(AugSun1+30)=8),AugSun1+30,""),IF(AND(YEAR(AugSun1+37)=CalendarYear,MONTH(AugSun1+37)=8),AugSun1+37,""))</f>
        <v>46265</v>
      </c>
    </row>
    <row r="120" spans="2:37" s="75" customFormat="1" ht="19.899999999999999" customHeight="1" x14ac:dyDescent="0.3">
      <c r="B120" s="212"/>
      <c r="C120" s="78"/>
      <c r="D120" s="10" t="s">
        <v>15</v>
      </c>
      <c r="E120" s="10" t="s">
        <v>9</v>
      </c>
      <c r="F120" s="10" t="s">
        <v>10</v>
      </c>
      <c r="G120" s="10" t="s">
        <v>11</v>
      </c>
      <c r="H120" s="10" t="s">
        <v>16</v>
      </c>
      <c r="I120" s="10" t="s">
        <v>13</v>
      </c>
      <c r="J120" s="10" t="s">
        <v>14</v>
      </c>
      <c r="K120" s="10" t="s">
        <v>15</v>
      </c>
      <c r="L120" s="10" t="s">
        <v>9</v>
      </c>
      <c r="M120" s="10" t="s">
        <v>11</v>
      </c>
      <c r="N120" s="10" t="s">
        <v>16</v>
      </c>
      <c r="O120" s="10" t="s">
        <v>13</v>
      </c>
      <c r="P120" s="10" t="s">
        <v>14</v>
      </c>
      <c r="Q120" s="10" t="s">
        <v>9</v>
      </c>
      <c r="R120" s="10" t="s">
        <v>10</v>
      </c>
      <c r="S120" s="10" t="s">
        <v>11</v>
      </c>
      <c r="T120" s="10" t="s">
        <v>16</v>
      </c>
      <c r="U120" s="10" t="s">
        <v>14</v>
      </c>
      <c r="V120" s="10" t="s">
        <v>15</v>
      </c>
      <c r="W120" s="10" t="s">
        <v>9</v>
      </c>
      <c r="X120" s="10" t="s">
        <v>10</v>
      </c>
      <c r="Y120" s="10" t="s">
        <v>11</v>
      </c>
      <c r="Z120" s="10" t="s">
        <v>16</v>
      </c>
      <c r="AA120" s="10" t="s">
        <v>13</v>
      </c>
      <c r="AB120" s="10" t="s">
        <v>14</v>
      </c>
      <c r="AC120" s="10" t="s">
        <v>15</v>
      </c>
      <c r="AD120" s="10" t="s">
        <v>9</v>
      </c>
      <c r="AE120" s="10" t="s">
        <v>10</v>
      </c>
      <c r="AF120" s="10" t="s">
        <v>11</v>
      </c>
      <c r="AG120" s="10" t="s">
        <v>16</v>
      </c>
      <c r="AH120" s="10" t="s">
        <v>13</v>
      </c>
      <c r="AI120" s="10" t="s">
        <v>14</v>
      </c>
      <c r="AJ120" s="10" t="s">
        <v>15</v>
      </c>
      <c r="AK120" s="12" t="s">
        <v>9</v>
      </c>
    </row>
    <row r="121" spans="2:37" ht="19.899999999999999" customHeight="1" x14ac:dyDescent="0.3">
      <c r="B121" s="71" t="s">
        <v>174</v>
      </c>
      <c r="C121" s="71"/>
      <c r="D121" s="6" t="str">
        <f t="shared" ref="D121:AK121" ca="1" si="15">IF(OR(NOT(ISNUMBER(D119)),D119&lt;Job1_StartDate),"",IF(MID(Job1_Pattern,MOD(D119-Job1_StartDate,LEN(Job1_Pattern))+1,1)=Job1_Shift1_Code,1,IF(MID(Job1_Pattern,MOD(D119-Job1_StartDate,LEN(Job1_Pattern))+1,1)=Job1_Shift2_Code,2,IF(MID(Job1_Pattern,MOD(D119-Job1_StartDate,LEN(Job1_Pattern))+1,1)=Job1_Shift3_Code,3,""))))</f>
        <v/>
      </c>
      <c r="E121" s="6" t="str">
        <f t="shared" ca="1" si="15"/>
        <v/>
      </c>
      <c r="F121" s="6" t="str">
        <f t="shared" ca="1" si="15"/>
        <v/>
      </c>
      <c r="G121" s="6" t="str">
        <f t="shared" ca="1" si="15"/>
        <v/>
      </c>
      <c r="H121" s="6" t="str">
        <f t="shared" ca="1" si="15"/>
        <v/>
      </c>
      <c r="I121" s="6" t="str">
        <f t="shared" ca="1" si="15"/>
        <v/>
      </c>
      <c r="J121" s="6" t="str">
        <f t="shared" ca="1" si="15"/>
        <v/>
      </c>
      <c r="K121" s="6" t="str">
        <f t="shared" ca="1" si="15"/>
        <v/>
      </c>
      <c r="L121" s="6" t="str">
        <f t="shared" ca="1" si="15"/>
        <v/>
      </c>
      <c r="M121" s="6" t="str">
        <f t="shared" ca="1" si="15"/>
        <v/>
      </c>
      <c r="N121" s="6" t="str">
        <f t="shared" ca="1" si="15"/>
        <v/>
      </c>
      <c r="O121" s="6" t="str">
        <f t="shared" ca="1" si="15"/>
        <v/>
      </c>
      <c r="P121" s="6">
        <f t="shared" ca="1" si="15"/>
        <v>1</v>
      </c>
      <c r="Q121" s="6" t="str">
        <f t="shared" ca="1" si="15"/>
        <v/>
      </c>
      <c r="R121" s="6" t="str">
        <f t="shared" ca="1" si="15"/>
        <v/>
      </c>
      <c r="S121" s="6">
        <f t="shared" ca="1" si="15"/>
        <v>1</v>
      </c>
      <c r="T121" s="6" t="str">
        <f t="shared" ca="1" si="15"/>
        <v/>
      </c>
      <c r="U121" s="6" t="str">
        <f t="shared" ca="1" si="15"/>
        <v/>
      </c>
      <c r="V121" s="6">
        <f t="shared" ca="1" si="15"/>
        <v>1</v>
      </c>
      <c r="W121" s="6" t="str">
        <f t="shared" ca="1" si="15"/>
        <v/>
      </c>
      <c r="X121" s="6" t="str">
        <f t="shared" ca="1" si="15"/>
        <v/>
      </c>
      <c r="Y121" s="6" t="str">
        <f t="shared" ca="1" si="15"/>
        <v/>
      </c>
      <c r="Z121" s="6">
        <f t="shared" ca="1" si="15"/>
        <v>1</v>
      </c>
      <c r="AA121" s="6" t="str">
        <f t="shared" ca="1" si="15"/>
        <v/>
      </c>
      <c r="AB121" s="6" t="str">
        <f t="shared" ca="1" si="15"/>
        <v/>
      </c>
      <c r="AC121" s="6" t="str">
        <f t="shared" ca="1" si="15"/>
        <v/>
      </c>
      <c r="AD121" s="6">
        <f t="shared" ca="1" si="15"/>
        <v>1</v>
      </c>
      <c r="AE121" s="6" t="str">
        <f t="shared" ca="1" si="15"/>
        <v/>
      </c>
      <c r="AF121" s="6" t="str">
        <f t="shared" ca="1" si="15"/>
        <v/>
      </c>
      <c r="AG121" s="6" t="str">
        <f t="shared" ca="1" si="15"/>
        <v/>
      </c>
      <c r="AH121" s="6">
        <f t="shared" ca="1" si="15"/>
        <v>1</v>
      </c>
      <c r="AI121" s="6" t="str">
        <f t="shared" ca="1" si="15"/>
        <v/>
      </c>
      <c r="AJ121" s="6" t="str">
        <f t="shared" ca="1" si="15"/>
        <v/>
      </c>
      <c r="AK121" s="6" t="str">
        <f t="shared" ca="1" si="15"/>
        <v/>
      </c>
    </row>
    <row r="122" spans="2:37" ht="19.899999999999999" customHeight="1" x14ac:dyDescent="0.3">
      <c r="B122" s="72" t="s">
        <v>175</v>
      </c>
      <c r="C122" s="72"/>
      <c r="D122" s="7" t="str">
        <f t="shared" ref="D122:AK122" ca="1" si="16">IF(OR(NOT(ISNUMBER(D119)),D119&lt;Job2_StartDate),"",IF(MID(Job2_Pattern,MOD(D119-Job2_StartDate,LEN(Job2_Pattern))+1,1)=Job2_Shift1_Code,1,IF(MID(Job2_Pattern,MOD(D119-Job2_StartDate,LEN(Job2_Pattern))+1,1)=Job2_Shift2_Code,2,IF(MID(Job2_Pattern,MOD(D119-Job2_StartDate,LEN(Job2_Pattern))+1,1)=Job2_Shift3_Code,3,""))))</f>
        <v/>
      </c>
      <c r="E122" s="7" t="str">
        <f t="shared" ca="1" si="16"/>
        <v/>
      </c>
      <c r="F122" s="7" t="str">
        <f t="shared" ca="1" si="16"/>
        <v/>
      </c>
      <c r="G122" s="7" t="str">
        <f t="shared" ca="1" si="16"/>
        <v/>
      </c>
      <c r="H122" s="7" t="str">
        <f t="shared" ca="1" si="16"/>
        <v/>
      </c>
      <c r="I122" s="7" t="str">
        <f t="shared" ca="1" si="16"/>
        <v/>
      </c>
      <c r="J122" s="7" t="str">
        <f t="shared" ca="1" si="16"/>
        <v/>
      </c>
      <c r="K122" s="7" t="str">
        <f t="shared" ca="1" si="16"/>
        <v/>
      </c>
      <c r="L122" s="7">
        <f t="shared" ca="1" si="16"/>
        <v>2</v>
      </c>
      <c r="M122" s="7" t="str">
        <f t="shared" ca="1" si="16"/>
        <v/>
      </c>
      <c r="N122" s="7" t="str">
        <f t="shared" ca="1" si="16"/>
        <v/>
      </c>
      <c r="O122" s="7">
        <f t="shared" ca="1" si="16"/>
        <v>2</v>
      </c>
      <c r="P122" s="7" t="str">
        <f t="shared" ca="1" si="16"/>
        <v/>
      </c>
      <c r="Q122" s="7" t="str">
        <f t="shared" ca="1" si="16"/>
        <v/>
      </c>
      <c r="R122" s="7">
        <f t="shared" ca="1" si="16"/>
        <v>2</v>
      </c>
      <c r="S122" s="7" t="str">
        <f t="shared" ca="1" si="16"/>
        <v/>
      </c>
      <c r="T122" s="7" t="str">
        <f t="shared" ca="1" si="16"/>
        <v/>
      </c>
      <c r="U122" s="7">
        <f t="shared" ca="1" si="16"/>
        <v>2</v>
      </c>
      <c r="V122" s="7" t="str">
        <f t="shared" ca="1" si="16"/>
        <v/>
      </c>
      <c r="W122" s="7" t="str">
        <f t="shared" ca="1" si="16"/>
        <v/>
      </c>
      <c r="X122" s="7" t="str">
        <f t="shared" ca="1" si="16"/>
        <v/>
      </c>
      <c r="Y122" s="7">
        <f t="shared" ca="1" si="16"/>
        <v>2</v>
      </c>
      <c r="Z122" s="7" t="str">
        <f t="shared" ca="1" si="16"/>
        <v/>
      </c>
      <c r="AA122" s="7" t="str">
        <f t="shared" ca="1" si="16"/>
        <v/>
      </c>
      <c r="AB122" s="7" t="str">
        <f t="shared" ca="1" si="16"/>
        <v/>
      </c>
      <c r="AC122" s="7">
        <f t="shared" ca="1" si="16"/>
        <v>2</v>
      </c>
      <c r="AD122" s="7" t="str">
        <f t="shared" ca="1" si="16"/>
        <v/>
      </c>
      <c r="AE122" s="7" t="str">
        <f t="shared" ca="1" si="16"/>
        <v/>
      </c>
      <c r="AF122" s="7" t="str">
        <f t="shared" ca="1" si="16"/>
        <v/>
      </c>
      <c r="AG122" s="7">
        <f t="shared" ca="1" si="16"/>
        <v>2</v>
      </c>
      <c r="AH122" s="7" t="str">
        <f t="shared" ca="1" si="16"/>
        <v/>
      </c>
      <c r="AI122" s="7" t="str">
        <f t="shared" ca="1" si="16"/>
        <v/>
      </c>
      <c r="AJ122" s="7" t="str">
        <f t="shared" ca="1" si="16"/>
        <v/>
      </c>
      <c r="AK122" s="7">
        <f t="shared" ca="1" si="16"/>
        <v>2</v>
      </c>
    </row>
    <row r="123" spans="2:37" ht="19.899999999999999" customHeight="1" x14ac:dyDescent="0.3">
      <c r="B123" s="73" t="s">
        <v>177</v>
      </c>
      <c r="C123" s="73"/>
      <c r="D123" s="7" t="str">
        <f t="shared" ref="D123:AK123" ca="1" si="17">IF(OR(NOT(ISNUMBER(D119)),D119&lt;Job3_StartDate),"",IF(MID(Job3_Pattern,MOD(D119-Job3_StartDate,LEN(Job3_Pattern))+1,1)=Job3_Shift1_Code,1,IF(MID(Job3_Pattern,MOD(D119-Job3_StartDate,LEN(Job3_Pattern))+1,1)=Job3_Shift2_Code,2,IF(MID(Job3_Pattern,MOD(D119-Job3_StartDate,LEN(Job3_Pattern))+1,1)=Job3_Shift3_Code,3,""))))</f>
        <v/>
      </c>
      <c r="E123" s="7" t="str">
        <f t="shared" ca="1" si="17"/>
        <v/>
      </c>
      <c r="F123" s="7" t="str">
        <f t="shared" ca="1" si="17"/>
        <v/>
      </c>
      <c r="G123" s="7" t="str">
        <f t="shared" ca="1" si="17"/>
        <v/>
      </c>
      <c r="H123" s="7" t="str">
        <f t="shared" ca="1" si="17"/>
        <v/>
      </c>
      <c r="I123" s="7" t="str">
        <f t="shared" ca="1" si="17"/>
        <v/>
      </c>
      <c r="J123" s="7" t="str">
        <f t="shared" ca="1" si="17"/>
        <v/>
      </c>
      <c r="K123" s="7" t="str">
        <f t="shared" ca="1" si="17"/>
        <v/>
      </c>
      <c r="L123" s="7" t="str">
        <f t="shared" ca="1" si="17"/>
        <v/>
      </c>
      <c r="M123" s="7" t="str">
        <f t="shared" ca="1" si="17"/>
        <v/>
      </c>
      <c r="N123" s="7" t="str">
        <f t="shared" ca="1" si="17"/>
        <v/>
      </c>
      <c r="O123" s="7" t="str">
        <f t="shared" ca="1" si="17"/>
        <v/>
      </c>
      <c r="P123" s="7">
        <f t="shared" ca="1" si="17"/>
        <v>3</v>
      </c>
      <c r="Q123" s="7" t="str">
        <f t="shared" ca="1" si="17"/>
        <v/>
      </c>
      <c r="R123" s="7" t="str">
        <f t="shared" ca="1" si="17"/>
        <v/>
      </c>
      <c r="S123" s="7">
        <f t="shared" ca="1" si="17"/>
        <v>3</v>
      </c>
      <c r="T123" s="7" t="str">
        <f t="shared" ca="1" si="17"/>
        <v/>
      </c>
      <c r="U123" s="7" t="str">
        <f t="shared" ca="1" si="17"/>
        <v/>
      </c>
      <c r="V123" s="7">
        <f t="shared" ca="1" si="17"/>
        <v>3</v>
      </c>
      <c r="W123" s="7" t="str">
        <f t="shared" ca="1" si="17"/>
        <v/>
      </c>
      <c r="X123" s="7" t="str">
        <f t="shared" ca="1" si="17"/>
        <v/>
      </c>
      <c r="Y123" s="7" t="str">
        <f t="shared" ca="1" si="17"/>
        <v/>
      </c>
      <c r="Z123" s="7">
        <f t="shared" ca="1" si="17"/>
        <v>3</v>
      </c>
      <c r="AA123" s="7" t="str">
        <f t="shared" ca="1" si="17"/>
        <v/>
      </c>
      <c r="AB123" s="7" t="str">
        <f t="shared" ca="1" si="17"/>
        <v/>
      </c>
      <c r="AC123" s="7" t="str">
        <f t="shared" ca="1" si="17"/>
        <v/>
      </c>
      <c r="AD123" s="7">
        <f t="shared" ca="1" si="17"/>
        <v>3</v>
      </c>
      <c r="AE123" s="7" t="str">
        <f t="shared" ca="1" si="17"/>
        <v/>
      </c>
      <c r="AF123" s="7" t="str">
        <f t="shared" ca="1" si="17"/>
        <v/>
      </c>
      <c r="AG123" s="7" t="str">
        <f t="shared" ca="1" si="17"/>
        <v/>
      </c>
      <c r="AH123" s="7">
        <f t="shared" ca="1" si="17"/>
        <v>3</v>
      </c>
      <c r="AI123" s="7" t="str">
        <f t="shared" ca="1" si="17"/>
        <v/>
      </c>
      <c r="AJ123" s="7" t="str">
        <f t="shared" ca="1" si="17"/>
        <v/>
      </c>
      <c r="AK123" s="7" t="str">
        <f t="shared" ca="1" si="17"/>
        <v/>
      </c>
    </row>
    <row r="124" spans="2:37" ht="19.899999999999999" customHeight="1" x14ac:dyDescent="0.3">
      <c r="B124" s="74"/>
      <c r="C124" s="74"/>
    </row>
    <row r="125" spans="2:37" s="75" customFormat="1" ht="19.899999999999999" customHeight="1" x14ac:dyDescent="0.3">
      <c r="B125" s="211">
        <f ca="1">DATE(CalendarYear,9,1)</f>
        <v>46266</v>
      </c>
      <c r="C125" s="77"/>
      <c r="D125" s="9" t="str">
        <f ca="1">IF(DAY(SepSun1)=1,"",IF(AND(YEAR(SepSun1+1)=CalendarYear,MONTH(SepSun1+1)=9),SepSun1+1,""))</f>
        <v/>
      </c>
      <c r="E125" s="9" t="str">
        <f ca="1">IF(DAY(SepSun1)=1,"",IF(AND(YEAR(SepSun1+2)=CalendarYear,MONTH(SepSun1+2)=9),SepSun1+2,""))</f>
        <v/>
      </c>
      <c r="F125" s="9">
        <f ca="1">IF(DAY(SepSun1)=1,"",IF(AND(YEAR(SepSun1+3)=CalendarYear,MONTH(SepSun1+3)=9),SepSun1+3,""))</f>
        <v>46266</v>
      </c>
      <c r="G125" s="9">
        <f ca="1">IF(DAY(SepSun1)=1,"",IF(AND(YEAR(SepSun1+4)=CalendarYear,MONTH(SepSun1+4)=9),SepSun1+4,""))</f>
        <v>46267</v>
      </c>
      <c r="H125" s="9">
        <f ca="1">IF(DAY(SepSun1)=1,"",IF(AND(YEAR(SepSun1+5)=CalendarYear,MONTH(SepSun1+5)=9),SepSun1+5,""))</f>
        <v>46268</v>
      </c>
      <c r="I125" s="9">
        <f ca="1">IF(DAY(SepSun1)=1,"",IF(AND(YEAR(SepSun1+6)=CalendarYear,MONTH(SepSun1+6)=9),SepSun1+6,""))</f>
        <v>46269</v>
      </c>
      <c r="J125" s="9">
        <f ca="1">IF(DAY(SepSun1)=1,IF(AND(YEAR(SepSun1)=CalendarYear,MONTH(SepSun1)=9),SepSun1,""),IF(AND(YEAR(SepSun1+7)=CalendarYear,MONTH(SepSun1+7)=9),SepSun1+7,""))</f>
        <v>46270</v>
      </c>
      <c r="K125" s="9">
        <f ca="1">IF(DAY(SepSun1)=1,IF(AND(YEAR(SepSun1+1)=CalendarYear,MONTH(SepSun1+1)=9),SepSun1+1,""),IF(AND(YEAR(SepSun1+8)=CalendarYear,MONTH(SepSun1+8)=9),SepSun1+8,""))</f>
        <v>46271</v>
      </c>
      <c r="L125" s="9">
        <f ca="1">IF(DAY(SepSun1)=1,IF(AND(YEAR(SepSun1+2)=CalendarYear,MONTH(SepSun1+2)=9),SepSun1+2,""),IF(AND(YEAR(SepSun1+9)=CalendarYear,MONTH(SepSun1+9)=9),SepSun1+9,""))</f>
        <v>46272</v>
      </c>
      <c r="M125" s="9">
        <f ca="1">IF(DAY(SepSun1)=1,IF(AND(YEAR(SepSun1+4)=CalendarYear,MONTH(SepSun1+4)=9),SepSun1+4,""),IF(AND(YEAR(SepSun1+11)=CalendarYear,MONTH(SepSun1+11)=9),SepSun1+11,""))</f>
        <v>46274</v>
      </c>
      <c r="N125" s="9">
        <f ca="1">IF(DAY(SepSun1)=1,IF(AND(YEAR(SepSun1+5)=CalendarYear,MONTH(SepSun1+5)=9),SepSun1+5,""),IF(AND(YEAR(SepSun1+12)=CalendarYear,MONTH(SepSun1+12)=9),SepSun1+12,""))</f>
        <v>46275</v>
      </c>
      <c r="O125" s="9">
        <f ca="1">IF(DAY(SepSun1)=1,IF(AND(YEAR(SepSun1+6)=CalendarYear,MONTH(SepSun1+6)=9),SepSun1+6,""),IF(AND(YEAR(SepSun1+13)=CalendarYear,MONTH(SepSun1+13)=9),SepSun1+13,""))</f>
        <v>46276</v>
      </c>
      <c r="P125" s="9">
        <f ca="1">IF(DAY(SepSun1)=1,IF(AND(YEAR(SepSun1+7)=CalendarYear,MONTH(SepSun1+7)=9),SepSun1+7,""),IF(AND(YEAR(SepSun1+14)=CalendarYear,MONTH(SepSun1+14)=9),SepSun1+14,""))</f>
        <v>46277</v>
      </c>
      <c r="Q125" s="9">
        <f ca="1">IF(DAY(SepSun1)=1,IF(AND(YEAR(SepSun1+9)=CalendarYear,MONTH(SepSun1+9)=9),SepSun1+9,""),IF(AND(YEAR(SepSun1+16)=CalendarYear,MONTH(SepSun1+16)=9),SepSun1+16,""))</f>
        <v>46279</v>
      </c>
      <c r="R125" s="9">
        <f ca="1">IF(DAY(SepSun1)=1,IF(AND(YEAR(SepSun1+10)=CalendarYear,MONTH(SepSun1+10)=9),SepSun1+10,""),IF(AND(YEAR(SepSun1+17)=CalendarYear,MONTH(SepSun1+17)=9),SepSun1+17,""))</f>
        <v>46280</v>
      </c>
      <c r="S125" s="9">
        <f ca="1">IF(DAY(SepSun1)=1,IF(AND(YEAR(SepSun1+11)=CalendarYear,MONTH(SepSun1+11)=9),SepSun1+11,""),IF(AND(YEAR(SepSun1+18)=CalendarYear,MONTH(SepSun1+18)=9),SepSun1+18,""))</f>
        <v>46281</v>
      </c>
      <c r="T125" s="9">
        <f ca="1">IF(DAY(SepSun1)=1,IF(AND(YEAR(SepSun1+12)=CalendarYear,MONTH(SepSun1+12)=9),SepSun1+12,""),IF(AND(YEAR(SepSun1+19)=CalendarYear,MONTH(SepSun1+19)=9),SepSun1+19,""))</f>
        <v>46282</v>
      </c>
      <c r="U125" s="9">
        <f ca="1">IF(DAY(SepSun1)=1,IF(AND(YEAR(SepSun1+14)=CalendarYear,MONTH(SepSun1+14)=9),SepSun1+14,""),IF(AND(YEAR(SepSun1+21)=CalendarYear,MONTH(SepSun1+21)=9),SepSun1+21,""))</f>
        <v>46284</v>
      </c>
      <c r="V125" s="9">
        <f ca="1">IF(DAY(SepSun1)=1,IF(AND(YEAR(SepSun1+15)=CalendarYear,MONTH(SepSun1+15)=9),SepSun1+15,""),IF(AND(YEAR(SepSun1+22)=CalendarYear,MONTH(SepSun1+22)=9),SepSun1+22,""))</f>
        <v>46285</v>
      </c>
      <c r="W125" s="9">
        <f ca="1">IF(DAY(SepSun1)=1,IF(AND(YEAR(SepSun1+16)=CalendarYear,MONTH(SepSun1+16)=9),SepSun1+16,""),IF(AND(YEAR(SepSun1+23)=CalendarYear,MONTH(SepSun1+23)=9),SepSun1+23,""))</f>
        <v>46286</v>
      </c>
      <c r="X125" s="9">
        <f ca="1">IF(DAY(SepSun1)=1,IF(AND(YEAR(SepSun1+17)=CalendarYear,MONTH(SepSun1+17)=9),SepSun1+17,""),IF(AND(YEAR(SepSun1+24)=CalendarYear,MONTH(SepSun1+24)=9),SepSun1+24,""))</f>
        <v>46287</v>
      </c>
      <c r="Y125" s="9">
        <f ca="1">IF(DAY(SepSun1)=1,IF(AND(YEAR(SepSun1+18)=CalendarYear,MONTH(SepSun1+18)=9),SepSun1+18,""),IF(AND(YEAR(SepSun1+25)=CalendarYear,MONTH(SepSun1+25)=9),SepSun1+25,""))</f>
        <v>46288</v>
      </c>
      <c r="Z125" s="9">
        <f ca="1">IF(DAY(SepSun1)=1,IF(AND(YEAR(SepSun1+19)=CalendarYear,MONTH(SepSun1+19)=9),SepSun1+19,""),IF(AND(YEAR(SepSun1+26)=CalendarYear,MONTH(SepSun1+26)=9),SepSun1+26,""))</f>
        <v>46289</v>
      </c>
      <c r="AA125" s="9">
        <f ca="1">IF(DAY(SepSun1)=1,IF(AND(YEAR(SepSun1+20)=CalendarYear,MONTH(SepSun1+20)=9),SepSun1+20,""),IF(AND(YEAR(SepSun1+27)=CalendarYear,MONTH(SepSun1+27)=9),SepSun1+27,""))</f>
        <v>46290</v>
      </c>
      <c r="AB125" s="9">
        <f ca="1">IF(DAY(SepSun1)=1,IF(AND(YEAR(SepSun1+21)=CalendarYear,MONTH(SepSun1+21)=9),SepSun1+21,""),IF(AND(YEAR(SepSun1+28)=CalendarYear,MONTH(SepSun1+28)=9),SepSun1+28,""))</f>
        <v>46291</v>
      </c>
      <c r="AC125" s="9">
        <f ca="1">IF(DAY(SepSun1)=1,IF(AND(YEAR(SepSun1+22)=CalendarYear,MONTH(SepSun1+22)=9),SepSun1+22,""),IF(AND(YEAR(SepSun1+29)=CalendarYear,MONTH(SepSun1+29)=9),SepSun1+29,""))</f>
        <v>46292</v>
      </c>
      <c r="AD125" s="9">
        <f ca="1">IF(DAY(SepSun1)=1,IF(AND(YEAR(SepSun1+23)=CalendarYear,MONTH(SepSun1+23)=9),SepSun1+23,""),IF(AND(YEAR(SepSun1+30)=CalendarYear,MONTH(SepSun1+30)=9),SepSun1+30,""))</f>
        <v>46293</v>
      </c>
      <c r="AE125" s="9">
        <f ca="1">IF(DAY(SepSun1)=1,IF(AND(YEAR(SepSun1+24)=CalendarYear,MONTH(SepSun1+24)=9),SepSun1+24,""),IF(AND(YEAR(SepSun1+31)=CalendarYear,MONTH(SepSun1+31)=9),SepSun1+31,""))</f>
        <v>46294</v>
      </c>
      <c r="AF125" s="9">
        <f ca="1">IF(DAY(SepSun1)=1,IF(AND(YEAR(SepSun1+25)=CalendarYear,MONTH(SepSun1+25)=9),SepSun1+25,""),IF(AND(YEAR(SepSun1+32)=CalendarYear,MONTH(SepSun1+32)=9),SepSun1+32,""))</f>
        <v>46295</v>
      </c>
      <c r="AG125" s="9" t="str">
        <f ca="1">IF(DAY(SepSun1)=1,IF(AND(YEAR(SepSun1+26)=CalendarYear,MONTH(SepSun1+26)=9),SepSun1+26,""),IF(AND(YEAR(SepSun1+33)=CalendarYear,MONTH(SepSun1+33)=9),SepSun1+33,""))</f>
        <v/>
      </c>
      <c r="AH125" s="9" t="str">
        <f ca="1">IF(DAY(SepSun1)=1,IF(AND(YEAR(SepSun1+27)=CalendarYear,MONTH(SepSun1+27)=9),SepSun1+27,""),IF(AND(YEAR(SepSun1+34)=CalendarYear,MONTH(SepSun1+34)=9),SepSun1+34,""))</f>
        <v/>
      </c>
      <c r="AI125" s="9" t="str">
        <f ca="1">IF(DAY(SepSun1)=1,IF(AND(YEAR(SepSun1+28)=CalendarYear,MONTH(SepSun1+28)=9),SepSun1+28,""),IF(AND(YEAR(SepSun1+35)=CalendarYear,MONTH(SepSun1+35)=9),SepSun1+35,""))</f>
        <v/>
      </c>
      <c r="AJ125" s="9" t="str">
        <f ca="1">IF(DAY(SepSun1)=1,IF(AND(YEAR(SepSun1+29)=CalendarYear,MONTH(SepSun1+29)=9),SepSun1+29,""),IF(AND(YEAR(SepSun1+36)=CalendarYear,MONTH(SepSun1+36)=9),SepSun1+36,""))</f>
        <v/>
      </c>
      <c r="AK125" s="11" t="str">
        <f ca="1">IF(DAY(SepSun1)=1,IF(AND(YEAR(SepSun1+30)=CalendarYear,MONTH(SepSun1+30)=9),SepSun1+30,""),IF(AND(YEAR(SepSun1+37)=CalendarYear,MONTH(SepSun1+37)=9),SepSun1+37,""))</f>
        <v/>
      </c>
    </row>
    <row r="126" spans="2:37" s="75" customFormat="1" ht="19.899999999999999" customHeight="1" x14ac:dyDescent="0.3">
      <c r="B126" s="212"/>
      <c r="C126" s="78"/>
      <c r="D126" s="10" t="s">
        <v>15</v>
      </c>
      <c r="E126" s="10" t="s">
        <v>9</v>
      </c>
      <c r="F126" s="10" t="s">
        <v>10</v>
      </c>
      <c r="G126" s="10" t="s">
        <v>11</v>
      </c>
      <c r="H126" s="10" t="s">
        <v>16</v>
      </c>
      <c r="I126" s="10" t="s">
        <v>13</v>
      </c>
      <c r="J126" s="10" t="s">
        <v>14</v>
      </c>
      <c r="K126" s="10" t="s">
        <v>15</v>
      </c>
      <c r="L126" s="10" t="s">
        <v>9</v>
      </c>
      <c r="M126" s="10" t="s">
        <v>11</v>
      </c>
      <c r="N126" s="10" t="s">
        <v>16</v>
      </c>
      <c r="O126" s="10" t="s">
        <v>13</v>
      </c>
      <c r="P126" s="10" t="s">
        <v>14</v>
      </c>
      <c r="Q126" s="10" t="s">
        <v>9</v>
      </c>
      <c r="R126" s="10" t="s">
        <v>10</v>
      </c>
      <c r="S126" s="10" t="s">
        <v>11</v>
      </c>
      <c r="T126" s="10" t="s">
        <v>16</v>
      </c>
      <c r="U126" s="10" t="s">
        <v>14</v>
      </c>
      <c r="V126" s="10" t="s">
        <v>15</v>
      </c>
      <c r="W126" s="10" t="s">
        <v>9</v>
      </c>
      <c r="X126" s="10" t="s">
        <v>10</v>
      </c>
      <c r="Y126" s="10" t="s">
        <v>11</v>
      </c>
      <c r="Z126" s="10" t="s">
        <v>16</v>
      </c>
      <c r="AA126" s="10" t="s">
        <v>13</v>
      </c>
      <c r="AB126" s="10" t="s">
        <v>14</v>
      </c>
      <c r="AC126" s="10" t="s">
        <v>15</v>
      </c>
      <c r="AD126" s="10" t="s">
        <v>9</v>
      </c>
      <c r="AE126" s="10" t="s">
        <v>10</v>
      </c>
      <c r="AF126" s="10" t="s">
        <v>11</v>
      </c>
      <c r="AG126" s="10" t="s">
        <v>16</v>
      </c>
      <c r="AH126" s="10" t="s">
        <v>13</v>
      </c>
      <c r="AI126" s="10" t="s">
        <v>14</v>
      </c>
      <c r="AJ126" s="10" t="s">
        <v>15</v>
      </c>
      <c r="AK126" s="12" t="s">
        <v>9</v>
      </c>
    </row>
    <row r="127" spans="2:37" ht="19.899999999999999" customHeight="1" x14ac:dyDescent="0.3">
      <c r="B127" s="71" t="s">
        <v>174</v>
      </c>
      <c r="C127" s="71"/>
      <c r="D127" s="6" t="str">
        <f t="shared" ref="D127:AK127" ca="1" si="18">IF(OR(NOT(ISNUMBER(D125)),D125&lt;Job1_StartDate),"",IF(MID(Job1_Pattern,MOD(D125-Job1_StartDate,LEN(Job1_Pattern))+1,1)=Job1_Shift1_Code,1,IF(MID(Job1_Pattern,MOD(D125-Job1_StartDate,LEN(Job1_Pattern))+1,1)=Job1_Shift2_Code,2,IF(MID(Job1_Pattern,MOD(D125-Job1_StartDate,LEN(Job1_Pattern))+1,1)=Job1_Shift3_Code,3,""))))</f>
        <v/>
      </c>
      <c r="E127" s="6" t="str">
        <f t="shared" ca="1" si="18"/>
        <v/>
      </c>
      <c r="F127" s="6">
        <f t="shared" ca="1" si="18"/>
        <v>1</v>
      </c>
      <c r="G127" s="6" t="str">
        <f t="shared" ca="1" si="18"/>
        <v/>
      </c>
      <c r="H127" s="6" t="str">
        <f t="shared" ca="1" si="18"/>
        <v/>
      </c>
      <c r="I127" s="6" t="str">
        <f t="shared" ca="1" si="18"/>
        <v/>
      </c>
      <c r="J127" s="6">
        <f t="shared" ca="1" si="18"/>
        <v>1</v>
      </c>
      <c r="K127" s="6" t="str">
        <f t="shared" ca="1" si="18"/>
        <v/>
      </c>
      <c r="L127" s="6" t="str">
        <f t="shared" ca="1" si="18"/>
        <v/>
      </c>
      <c r="M127" s="6">
        <f t="shared" ca="1" si="18"/>
        <v>1</v>
      </c>
      <c r="N127" s="6" t="str">
        <f t="shared" ca="1" si="18"/>
        <v/>
      </c>
      <c r="O127" s="6" t="str">
        <f t="shared" ca="1" si="18"/>
        <v/>
      </c>
      <c r="P127" s="6" t="str">
        <f t="shared" ca="1" si="18"/>
        <v/>
      </c>
      <c r="Q127" s="6" t="str">
        <f t="shared" ca="1" si="18"/>
        <v/>
      </c>
      <c r="R127" s="6" t="str">
        <f t="shared" ca="1" si="18"/>
        <v/>
      </c>
      <c r="S127" s="6" t="str">
        <f t="shared" ca="1" si="18"/>
        <v/>
      </c>
      <c r="T127" s="6">
        <f t="shared" ca="1" si="18"/>
        <v>1</v>
      </c>
      <c r="U127" s="6" t="str">
        <f t="shared" ca="1" si="18"/>
        <v/>
      </c>
      <c r="V127" s="6" t="str">
        <f t="shared" ca="1" si="18"/>
        <v/>
      </c>
      <c r="W127" s="6">
        <f t="shared" ca="1" si="18"/>
        <v>1</v>
      </c>
      <c r="X127" s="6" t="str">
        <f t="shared" ca="1" si="18"/>
        <v/>
      </c>
      <c r="Y127" s="6" t="str">
        <f t="shared" ca="1" si="18"/>
        <v/>
      </c>
      <c r="Z127" s="6" t="str">
        <f t="shared" ca="1" si="18"/>
        <v/>
      </c>
      <c r="AA127" s="6">
        <f t="shared" ca="1" si="18"/>
        <v>1</v>
      </c>
      <c r="AB127" s="6" t="str">
        <f t="shared" ca="1" si="18"/>
        <v/>
      </c>
      <c r="AC127" s="6" t="str">
        <f t="shared" ca="1" si="18"/>
        <v/>
      </c>
      <c r="AD127" s="6" t="str">
        <f t="shared" ca="1" si="18"/>
        <v/>
      </c>
      <c r="AE127" s="6">
        <f t="shared" ca="1" si="18"/>
        <v>1</v>
      </c>
      <c r="AF127" s="6" t="str">
        <f t="shared" ca="1" si="18"/>
        <v/>
      </c>
      <c r="AG127" s="6" t="str">
        <f t="shared" ca="1" si="18"/>
        <v/>
      </c>
      <c r="AH127" s="6" t="str">
        <f t="shared" ca="1" si="18"/>
        <v/>
      </c>
      <c r="AI127" s="6" t="str">
        <f t="shared" ca="1" si="18"/>
        <v/>
      </c>
      <c r="AJ127" s="6" t="str">
        <f t="shared" ca="1" si="18"/>
        <v/>
      </c>
      <c r="AK127" s="6" t="str">
        <f t="shared" ca="1" si="18"/>
        <v/>
      </c>
    </row>
    <row r="128" spans="2:37" ht="19.899999999999999" customHeight="1" x14ac:dyDescent="0.3">
      <c r="B128" s="72" t="s">
        <v>175</v>
      </c>
      <c r="C128" s="72"/>
      <c r="D128" s="7" t="str">
        <f t="shared" ref="D128:AK128" ca="1" si="19">IF(OR(NOT(ISNUMBER(D125)),D125&lt;Job2_StartDate),"",IF(MID(Job2_Pattern,MOD(D125-Job2_StartDate,LEN(Job2_Pattern))+1,1)=Job2_Shift1_Code,1,IF(MID(Job2_Pattern,MOD(D125-Job2_StartDate,LEN(Job2_Pattern))+1,1)=Job2_Shift2_Code,2,IF(MID(Job2_Pattern,MOD(D125-Job2_StartDate,LEN(Job2_Pattern))+1,1)=Job2_Shift3_Code,3,""))))</f>
        <v/>
      </c>
      <c r="E128" s="7" t="str">
        <f t="shared" ca="1" si="19"/>
        <v/>
      </c>
      <c r="F128" s="7" t="str">
        <f t="shared" ca="1" si="19"/>
        <v/>
      </c>
      <c r="G128" s="7" t="str">
        <f t="shared" ca="1" si="19"/>
        <v/>
      </c>
      <c r="H128" s="7" t="str">
        <f t="shared" ca="1" si="19"/>
        <v/>
      </c>
      <c r="I128" s="7">
        <f t="shared" ca="1" si="19"/>
        <v>2</v>
      </c>
      <c r="J128" s="7" t="str">
        <f t="shared" ca="1" si="19"/>
        <v/>
      </c>
      <c r="K128" s="7" t="str">
        <f t="shared" ca="1" si="19"/>
        <v/>
      </c>
      <c r="L128" s="7" t="str">
        <f t="shared" ca="1" si="19"/>
        <v/>
      </c>
      <c r="M128" s="7" t="str">
        <f t="shared" ca="1" si="19"/>
        <v/>
      </c>
      <c r="N128" s="7" t="str">
        <f t="shared" ca="1" si="19"/>
        <v/>
      </c>
      <c r="O128" s="7" t="str">
        <f t="shared" ca="1" si="19"/>
        <v/>
      </c>
      <c r="P128" s="7">
        <f t="shared" ca="1" si="19"/>
        <v>2</v>
      </c>
      <c r="Q128" s="7" t="str">
        <f t="shared" ca="1" si="19"/>
        <v/>
      </c>
      <c r="R128" s="7" t="str">
        <f t="shared" ca="1" si="19"/>
        <v/>
      </c>
      <c r="S128" s="7">
        <f t="shared" ca="1" si="19"/>
        <v>2</v>
      </c>
      <c r="T128" s="7" t="str">
        <f t="shared" ca="1" si="19"/>
        <v/>
      </c>
      <c r="U128" s="7" t="str">
        <f t="shared" ca="1" si="19"/>
        <v/>
      </c>
      <c r="V128" s="7">
        <f t="shared" ca="1" si="19"/>
        <v>2</v>
      </c>
      <c r="W128" s="7" t="str">
        <f t="shared" ca="1" si="19"/>
        <v/>
      </c>
      <c r="X128" s="7" t="str">
        <f t="shared" ca="1" si="19"/>
        <v/>
      </c>
      <c r="Y128" s="7" t="str">
        <f t="shared" ca="1" si="19"/>
        <v/>
      </c>
      <c r="Z128" s="7">
        <f t="shared" ca="1" si="19"/>
        <v>2</v>
      </c>
      <c r="AA128" s="7" t="str">
        <f t="shared" ca="1" si="19"/>
        <v/>
      </c>
      <c r="AB128" s="7" t="str">
        <f t="shared" ca="1" si="19"/>
        <v/>
      </c>
      <c r="AC128" s="7" t="str">
        <f t="shared" ca="1" si="19"/>
        <v/>
      </c>
      <c r="AD128" s="7">
        <f t="shared" ca="1" si="19"/>
        <v>2</v>
      </c>
      <c r="AE128" s="7" t="str">
        <f t="shared" ca="1" si="19"/>
        <v/>
      </c>
      <c r="AF128" s="7" t="str">
        <f t="shared" ca="1" si="19"/>
        <v/>
      </c>
      <c r="AG128" s="7" t="str">
        <f t="shared" ca="1" si="19"/>
        <v/>
      </c>
      <c r="AH128" s="7" t="str">
        <f t="shared" ca="1" si="19"/>
        <v/>
      </c>
      <c r="AI128" s="7" t="str">
        <f t="shared" ca="1" si="19"/>
        <v/>
      </c>
      <c r="AJ128" s="7" t="str">
        <f t="shared" ca="1" si="19"/>
        <v/>
      </c>
      <c r="AK128" s="7" t="str">
        <f t="shared" ca="1" si="19"/>
        <v/>
      </c>
    </row>
    <row r="129" spans="2:37" ht="19.899999999999999" customHeight="1" x14ac:dyDescent="0.3">
      <c r="B129" s="73" t="s">
        <v>177</v>
      </c>
      <c r="C129" s="73"/>
      <c r="D129" s="7" t="str">
        <f t="shared" ref="D129:AK129" ca="1" si="20">IF(OR(NOT(ISNUMBER(D125)),D125&lt;Job3_StartDate),"",IF(MID(Job3_Pattern,MOD(D125-Job3_StartDate,LEN(Job3_Pattern))+1,1)=Job3_Shift1_Code,1,IF(MID(Job3_Pattern,MOD(D125-Job3_StartDate,LEN(Job3_Pattern))+1,1)=Job3_Shift2_Code,2,IF(MID(Job3_Pattern,MOD(D125-Job3_StartDate,LEN(Job3_Pattern))+1,1)=Job3_Shift3_Code,3,""))))</f>
        <v/>
      </c>
      <c r="E129" s="7" t="str">
        <f t="shared" ca="1" si="20"/>
        <v/>
      </c>
      <c r="F129" s="7">
        <f t="shared" ca="1" si="20"/>
        <v>3</v>
      </c>
      <c r="G129" s="7" t="str">
        <f t="shared" ca="1" si="20"/>
        <v/>
      </c>
      <c r="H129" s="7" t="str">
        <f t="shared" ca="1" si="20"/>
        <v/>
      </c>
      <c r="I129" s="7" t="str">
        <f t="shared" ca="1" si="20"/>
        <v/>
      </c>
      <c r="J129" s="7">
        <f t="shared" ca="1" si="20"/>
        <v>3</v>
      </c>
      <c r="K129" s="7" t="str">
        <f t="shared" ca="1" si="20"/>
        <v/>
      </c>
      <c r="L129" s="7" t="str">
        <f t="shared" ca="1" si="20"/>
        <v/>
      </c>
      <c r="M129" s="7">
        <f t="shared" ca="1" si="20"/>
        <v>3</v>
      </c>
      <c r="N129" s="7" t="str">
        <f t="shared" ca="1" si="20"/>
        <v/>
      </c>
      <c r="O129" s="7" t="str">
        <f t="shared" ca="1" si="20"/>
        <v/>
      </c>
      <c r="P129" s="7" t="str">
        <f t="shared" ca="1" si="20"/>
        <v/>
      </c>
      <c r="Q129" s="7" t="str">
        <f t="shared" ca="1" si="20"/>
        <v/>
      </c>
      <c r="R129" s="7" t="str">
        <f t="shared" ca="1" si="20"/>
        <v/>
      </c>
      <c r="S129" s="7" t="str">
        <f t="shared" ca="1" si="20"/>
        <v/>
      </c>
      <c r="T129" s="7">
        <f t="shared" ca="1" si="20"/>
        <v>3</v>
      </c>
      <c r="U129" s="7" t="str">
        <f t="shared" ca="1" si="20"/>
        <v/>
      </c>
      <c r="V129" s="7" t="str">
        <f t="shared" ca="1" si="20"/>
        <v/>
      </c>
      <c r="W129" s="7">
        <f t="shared" ca="1" si="20"/>
        <v>3</v>
      </c>
      <c r="X129" s="7" t="str">
        <f t="shared" ca="1" si="20"/>
        <v/>
      </c>
      <c r="Y129" s="7" t="str">
        <f t="shared" ca="1" si="20"/>
        <v/>
      </c>
      <c r="Z129" s="7" t="str">
        <f t="shared" ca="1" si="20"/>
        <v/>
      </c>
      <c r="AA129" s="7">
        <f t="shared" ca="1" si="20"/>
        <v>3</v>
      </c>
      <c r="AB129" s="7" t="str">
        <f t="shared" ca="1" si="20"/>
        <v/>
      </c>
      <c r="AC129" s="7" t="str">
        <f t="shared" ca="1" si="20"/>
        <v/>
      </c>
      <c r="AD129" s="7" t="str">
        <f t="shared" ca="1" si="20"/>
        <v/>
      </c>
      <c r="AE129" s="7">
        <f t="shared" ca="1" si="20"/>
        <v>3</v>
      </c>
      <c r="AF129" s="7" t="str">
        <f t="shared" ca="1" si="20"/>
        <v/>
      </c>
      <c r="AG129" s="7" t="str">
        <f t="shared" ca="1" si="20"/>
        <v/>
      </c>
      <c r="AH129" s="7" t="str">
        <f t="shared" ca="1" si="20"/>
        <v/>
      </c>
      <c r="AI129" s="7" t="str">
        <f t="shared" ca="1" si="20"/>
        <v/>
      </c>
      <c r="AJ129" s="7" t="str">
        <f t="shared" ca="1" si="20"/>
        <v/>
      </c>
      <c r="AK129" s="7" t="str">
        <f t="shared" ca="1" si="20"/>
        <v/>
      </c>
    </row>
    <row r="130" spans="2:37" ht="19.899999999999999" customHeight="1" x14ac:dyDescent="0.3">
      <c r="B130" s="74"/>
      <c r="C130" s="74"/>
    </row>
    <row r="131" spans="2:37" s="75" customFormat="1" ht="19.899999999999999" customHeight="1" x14ac:dyDescent="0.3">
      <c r="B131" s="211">
        <f ca="1">DATE(CalendarYear,10,1)</f>
        <v>46296</v>
      </c>
      <c r="C131" s="77"/>
      <c r="D131" s="9" t="str">
        <f ca="1">IF(DAY(OctSun1)=1,"",IF(AND(YEAR(OctSun1+1)=CalendarYear,MONTH(OctSun1+1)=10),OctSun1+1,""))</f>
        <v/>
      </c>
      <c r="E131" s="9" t="str">
        <f ca="1">IF(DAY(OctSun1)=1,"",IF(AND(YEAR(OctSun1+2)=CalendarYear,MONTH(OctSun1+2)=10),OctSun1+2,""))</f>
        <v/>
      </c>
      <c r="F131" s="9" t="str">
        <f ca="1">IF(DAY(OctSun1)=1,"",IF(AND(YEAR(OctSun1+3)=CalendarYear,MONTH(OctSun1+3)=10),OctSun1+3,""))</f>
        <v/>
      </c>
      <c r="G131" s="9" t="str">
        <f ca="1">IF(DAY(OctSun1)=1,"",IF(AND(YEAR(OctSun1+4)=CalendarYear,MONTH(OctSun1+4)=10),OctSun1+4,""))</f>
        <v/>
      </c>
      <c r="H131" s="9">
        <f ca="1">IF(DAY(OctSun1)=1,"",IF(AND(YEAR(OctSun1+5)=CalendarYear,MONTH(OctSun1+5)=10),OctSun1+5,""))</f>
        <v>46296</v>
      </c>
      <c r="I131" s="9">
        <f ca="1">IF(DAY(OctSun1)=1,"",IF(AND(YEAR(OctSun1+6)=CalendarYear,MONTH(OctSun1+6)=10),OctSun1+6,""))</f>
        <v>46297</v>
      </c>
      <c r="J131" s="9">
        <f ca="1">IF(DAY(OctSun1)=1,IF(AND(YEAR(OctSun1)=CalendarYear,MONTH(OctSun1)=10),OctSun1,""),IF(AND(YEAR(OctSun1+7)=CalendarYear,MONTH(OctSun1+7)=10),OctSun1+7,""))</f>
        <v>46298</v>
      </c>
      <c r="K131" s="9">
        <f ca="1">IF(DAY(OctSun1)=1,IF(AND(YEAR(OctSun1+1)=CalendarYear,MONTH(OctSun1+1)=10),OctSun1+1,""),IF(AND(YEAR(OctSun1+8)=CalendarYear,MONTH(OctSun1+8)=10),OctSun1+8,""))</f>
        <v>46299</v>
      </c>
      <c r="L131" s="9">
        <f ca="1">IF(DAY(OctSun1)=1,IF(AND(YEAR(OctSun1+2)=CalendarYear,MONTH(OctSun1+2)=10),OctSun1+2,""),IF(AND(YEAR(OctSun1+9)=CalendarYear,MONTH(OctSun1+9)=10),OctSun1+9,""))</f>
        <v>46300</v>
      </c>
      <c r="M131" s="9">
        <f ca="1">IF(DAY(OctSun1)=1,IF(AND(YEAR(OctSun1+4)=CalendarYear,MONTH(OctSun1+4)=10),OctSun1+4,""),IF(AND(YEAR(OctSun1+11)=CalendarYear,MONTH(OctSun1+11)=10),OctSun1+11,""))</f>
        <v>46302</v>
      </c>
      <c r="N131" s="9">
        <f ca="1">IF(DAY(OctSun1)=1,IF(AND(YEAR(OctSun1+5)=CalendarYear,MONTH(OctSun1+5)=10),OctSun1+5,""),IF(AND(YEAR(OctSun1+12)=CalendarYear,MONTH(OctSun1+12)=10),OctSun1+12,""))</f>
        <v>46303</v>
      </c>
      <c r="O131" s="9">
        <f ca="1">IF(DAY(OctSun1)=1,IF(AND(YEAR(OctSun1+6)=CalendarYear,MONTH(OctSun1+6)=10),OctSun1+6,""),IF(AND(YEAR(OctSun1+13)=CalendarYear,MONTH(OctSun1+13)=10),OctSun1+13,""))</f>
        <v>46304</v>
      </c>
      <c r="P131" s="9">
        <f ca="1">IF(DAY(OctSun1)=1,IF(AND(YEAR(OctSun1+7)=CalendarYear,MONTH(OctSun1+7)=10),OctSun1+7,""),IF(AND(YEAR(OctSun1+14)=CalendarYear,MONTH(OctSun1+14)=10),OctSun1+14,""))</f>
        <v>46305</v>
      </c>
      <c r="Q131" s="9">
        <f ca="1">IF(DAY(OctSun1)=1,IF(AND(YEAR(OctSun1+9)=CalendarYear,MONTH(OctSun1+9)=10),OctSun1+9,""),IF(AND(YEAR(OctSun1+16)=CalendarYear,MONTH(OctSun1+16)=10),OctSun1+16,""))</f>
        <v>46307</v>
      </c>
      <c r="R131" s="9">
        <f ca="1">IF(DAY(OctSun1)=1,IF(AND(YEAR(OctSun1+10)=CalendarYear,MONTH(OctSun1+10)=10),OctSun1+10,""),IF(AND(YEAR(OctSun1+17)=CalendarYear,MONTH(OctSun1+17)=10),OctSun1+17,""))</f>
        <v>46308</v>
      </c>
      <c r="S131" s="9">
        <f ca="1">IF(DAY(OctSun1)=1,IF(AND(YEAR(OctSun1+11)=CalendarYear,MONTH(OctSun1+11)=10),OctSun1+11,""),IF(AND(YEAR(OctSun1+18)=CalendarYear,MONTH(OctSun1+18)=10),OctSun1+18,""))</f>
        <v>46309</v>
      </c>
      <c r="T131" s="9">
        <f ca="1">IF(DAY(OctSun1)=1,IF(AND(YEAR(OctSun1+12)=CalendarYear,MONTH(OctSun1+12)=10),OctSun1+12,""),IF(AND(YEAR(OctSun1+19)=CalendarYear,MONTH(OctSun1+19)=10),OctSun1+19,""))</f>
        <v>46310</v>
      </c>
      <c r="U131" s="9">
        <f ca="1">IF(DAY(OctSun1)=1,IF(AND(YEAR(OctSun1+14)=CalendarYear,MONTH(OctSun1+14)=10),OctSun1+14,""),IF(AND(YEAR(OctSun1+21)=CalendarYear,MONTH(OctSun1+21)=10),OctSun1+21,""))</f>
        <v>46312</v>
      </c>
      <c r="V131" s="9">
        <f ca="1">IF(DAY(OctSun1)=1,IF(AND(YEAR(OctSun1+15)=CalendarYear,MONTH(OctSun1+15)=10),OctSun1+15,""),IF(AND(YEAR(OctSun1+22)=CalendarYear,MONTH(OctSun1+22)=10),OctSun1+22,""))</f>
        <v>46313</v>
      </c>
      <c r="W131" s="9">
        <f ca="1">IF(DAY(OctSun1)=1,IF(AND(YEAR(OctSun1+16)=CalendarYear,MONTH(OctSun1+16)=10),OctSun1+16,""),IF(AND(YEAR(OctSun1+23)=CalendarYear,MONTH(OctSun1+23)=10),OctSun1+23,""))</f>
        <v>46314</v>
      </c>
      <c r="X131" s="9">
        <f ca="1">IF(DAY(OctSun1)=1,IF(AND(YEAR(OctSun1+17)=CalendarYear,MONTH(OctSun1+17)=10),OctSun1+17,""),IF(AND(YEAR(OctSun1+24)=CalendarYear,MONTH(OctSun1+24)=10),OctSun1+24,""))</f>
        <v>46315</v>
      </c>
      <c r="Y131" s="9">
        <f ca="1">IF(DAY(OctSun1)=1,IF(AND(YEAR(OctSun1+18)=CalendarYear,MONTH(OctSun1+18)=10),OctSun1+18,""),IF(AND(YEAR(OctSun1+25)=CalendarYear,MONTH(OctSun1+25)=10),OctSun1+25,""))</f>
        <v>46316</v>
      </c>
      <c r="Z131" s="9">
        <f ca="1">IF(DAY(OctSun1)=1,IF(AND(YEAR(OctSun1+19)=CalendarYear,MONTH(OctSun1+19)=10),OctSun1+19,""),IF(AND(YEAR(OctSun1+26)=CalendarYear,MONTH(OctSun1+26)=10),OctSun1+26,""))</f>
        <v>46317</v>
      </c>
      <c r="AA131" s="9">
        <f ca="1">IF(DAY(OctSun1)=1,IF(AND(YEAR(OctSun1+20)=CalendarYear,MONTH(OctSun1+20)=10),OctSun1+20,""),IF(AND(YEAR(OctSun1+27)=CalendarYear,MONTH(OctSun1+27)=10),OctSun1+27,""))</f>
        <v>46318</v>
      </c>
      <c r="AB131" s="9">
        <f ca="1">IF(DAY(OctSun1)=1,IF(AND(YEAR(OctSun1+21)=CalendarYear,MONTH(OctSun1+21)=10),OctSun1+21,""),IF(AND(YEAR(OctSun1+28)=CalendarYear,MONTH(OctSun1+28)=10),OctSun1+28,""))</f>
        <v>46319</v>
      </c>
      <c r="AC131" s="9">
        <f ca="1">IF(DAY(OctSun1)=1,IF(AND(YEAR(OctSun1+22)=CalendarYear,MONTH(OctSun1+22)=10),OctSun1+22,""),IF(AND(YEAR(OctSun1+29)=CalendarYear,MONTH(OctSun1+29)=10),OctSun1+29,""))</f>
        <v>46320</v>
      </c>
      <c r="AD131" s="9">
        <f ca="1">IF(DAY(OctSun1)=1,IF(AND(YEAR(OctSun1+23)=CalendarYear,MONTH(OctSun1+23)=10),OctSun1+23,""),IF(AND(YEAR(OctSun1+30)=CalendarYear,MONTH(OctSun1+30)=10),OctSun1+30,""))</f>
        <v>46321</v>
      </c>
      <c r="AE131" s="9">
        <f ca="1">IF(DAY(OctSun1)=1,IF(AND(YEAR(OctSun1+24)=CalendarYear,MONTH(OctSun1+24)=10),OctSun1+24,""),IF(AND(YEAR(OctSun1+31)=CalendarYear,MONTH(OctSun1+31)=10),OctSun1+31,""))</f>
        <v>46322</v>
      </c>
      <c r="AF131" s="9">
        <f ca="1">IF(DAY(OctSun1)=1,IF(AND(YEAR(OctSun1+25)=CalendarYear,MONTH(OctSun1+25)=10),OctSun1+25,""),IF(AND(YEAR(OctSun1+32)=CalendarYear,MONTH(OctSun1+32)=10),OctSun1+32,""))</f>
        <v>46323</v>
      </c>
      <c r="AG131" s="9">
        <f ca="1">IF(DAY(OctSun1)=1,IF(AND(YEAR(OctSun1+26)=CalendarYear,MONTH(OctSun1+26)=10),OctSun1+26,""),IF(AND(YEAR(OctSun1+33)=CalendarYear,MONTH(OctSun1+33)=10),OctSun1+33,""))</f>
        <v>46324</v>
      </c>
      <c r="AH131" s="9">
        <f ca="1">IF(DAY(OctSun1)=1,IF(AND(YEAR(OctSun1+27)=CalendarYear,MONTH(OctSun1+27)=10),OctSun1+27,""),IF(AND(YEAR(OctSun1+34)=CalendarYear,MONTH(OctSun1+34)=10),OctSun1+34,""))</f>
        <v>46325</v>
      </c>
      <c r="AI131" s="9">
        <f ca="1">IF(DAY(OctSun1)=1,IF(AND(YEAR(OctSun1+28)=CalendarYear,MONTH(OctSun1+28)=10),OctSun1+28,""),IF(AND(YEAR(OctSun1+35)=CalendarYear,MONTH(OctSun1+35)=10),OctSun1+35,""))</f>
        <v>46326</v>
      </c>
      <c r="AJ131" s="9" t="str">
        <f ca="1">IF(DAY(OctSun1)=1,IF(AND(YEAR(OctSun1+29)=CalendarYear,MONTH(OctSun1+29)=10),OctSun1+29,""),IF(AND(YEAR(OctSun1+36)=CalendarYear,MONTH(OctSun1+36)=10),OctSun1+36,""))</f>
        <v/>
      </c>
      <c r="AK131" s="11" t="str">
        <f ca="1">IF(DAY(OctSun1)=1,IF(AND(YEAR(OctSun1+30)=CalendarYear,MONTH(OctSun1+30)=10),OctSun1+30,""),IF(AND(YEAR(OctSun1+37)=CalendarYear,MONTH(OctSun1+37)=10),OctSun1+37,""))</f>
        <v/>
      </c>
    </row>
    <row r="132" spans="2:37" s="75" customFormat="1" ht="19.899999999999999" customHeight="1" x14ac:dyDescent="0.3">
      <c r="B132" s="212"/>
      <c r="C132" s="78"/>
      <c r="D132" s="10" t="s">
        <v>15</v>
      </c>
      <c r="E132" s="10" t="s">
        <v>9</v>
      </c>
      <c r="F132" s="10" t="s">
        <v>10</v>
      </c>
      <c r="G132" s="10" t="s">
        <v>11</v>
      </c>
      <c r="H132" s="10" t="s">
        <v>16</v>
      </c>
      <c r="I132" s="10" t="s">
        <v>13</v>
      </c>
      <c r="J132" s="10" t="s">
        <v>14</v>
      </c>
      <c r="K132" s="10" t="s">
        <v>15</v>
      </c>
      <c r="L132" s="10" t="s">
        <v>9</v>
      </c>
      <c r="M132" s="10" t="s">
        <v>11</v>
      </c>
      <c r="N132" s="10" t="s">
        <v>16</v>
      </c>
      <c r="O132" s="10" t="s">
        <v>13</v>
      </c>
      <c r="P132" s="10" t="s">
        <v>14</v>
      </c>
      <c r="Q132" s="10" t="s">
        <v>9</v>
      </c>
      <c r="R132" s="10" t="s">
        <v>10</v>
      </c>
      <c r="S132" s="10" t="s">
        <v>11</v>
      </c>
      <c r="T132" s="10" t="s">
        <v>16</v>
      </c>
      <c r="U132" s="10" t="s">
        <v>14</v>
      </c>
      <c r="V132" s="10" t="s">
        <v>15</v>
      </c>
      <c r="W132" s="10" t="s">
        <v>9</v>
      </c>
      <c r="X132" s="10" t="s">
        <v>10</v>
      </c>
      <c r="Y132" s="10" t="s">
        <v>11</v>
      </c>
      <c r="Z132" s="10" t="s">
        <v>16</v>
      </c>
      <c r="AA132" s="10" t="s">
        <v>13</v>
      </c>
      <c r="AB132" s="10" t="s">
        <v>14</v>
      </c>
      <c r="AC132" s="10" t="s">
        <v>15</v>
      </c>
      <c r="AD132" s="10" t="s">
        <v>9</v>
      </c>
      <c r="AE132" s="10" t="s">
        <v>10</v>
      </c>
      <c r="AF132" s="10" t="s">
        <v>11</v>
      </c>
      <c r="AG132" s="10" t="s">
        <v>16</v>
      </c>
      <c r="AH132" s="10" t="s">
        <v>13</v>
      </c>
      <c r="AI132" s="10" t="s">
        <v>14</v>
      </c>
      <c r="AJ132" s="10" t="s">
        <v>15</v>
      </c>
      <c r="AK132" s="12" t="s">
        <v>9</v>
      </c>
    </row>
    <row r="133" spans="2:37" ht="19.899999999999999" customHeight="1" x14ac:dyDescent="0.3">
      <c r="B133" s="71" t="s">
        <v>174</v>
      </c>
      <c r="C133" s="71"/>
      <c r="D133" s="6" t="str">
        <f t="shared" ref="D133:AK133" ca="1" si="21">IF(OR(NOT(ISNUMBER(D131)),D131&lt;Job1_StartDate),"",IF(MID(Job1_Pattern,MOD(D131-Job1_StartDate,LEN(Job1_Pattern))+1,1)=Job1_Shift1_Code,1,IF(MID(Job1_Pattern,MOD(D131-Job1_StartDate,LEN(Job1_Pattern))+1,1)=Job1_Shift2_Code,2,IF(MID(Job1_Pattern,MOD(D131-Job1_StartDate,LEN(Job1_Pattern))+1,1)=Job1_Shift3_Code,3,""))))</f>
        <v/>
      </c>
      <c r="E133" s="6" t="str">
        <f t="shared" ca="1" si="21"/>
        <v/>
      </c>
      <c r="F133" s="6" t="str">
        <f t="shared" ca="1" si="21"/>
        <v/>
      </c>
      <c r="G133" s="6" t="str">
        <f t="shared" ca="1" si="21"/>
        <v/>
      </c>
      <c r="H133" s="6" t="str">
        <f t="shared" ca="1" si="21"/>
        <v/>
      </c>
      <c r="I133" s="6" t="str">
        <f t="shared" ca="1" si="21"/>
        <v/>
      </c>
      <c r="J133" s="6">
        <f t="shared" ca="1" si="21"/>
        <v>1</v>
      </c>
      <c r="K133" s="6" t="str">
        <f t="shared" ca="1" si="21"/>
        <v/>
      </c>
      <c r="L133" s="6" t="str">
        <f t="shared" ca="1" si="21"/>
        <v/>
      </c>
      <c r="M133" s="6">
        <f t="shared" ca="1" si="21"/>
        <v>1</v>
      </c>
      <c r="N133" s="6" t="str">
        <f t="shared" ca="1" si="21"/>
        <v/>
      </c>
      <c r="O133" s="6" t="str">
        <f t="shared" ca="1" si="21"/>
        <v/>
      </c>
      <c r="P133" s="6" t="str">
        <f t="shared" ca="1" si="21"/>
        <v/>
      </c>
      <c r="Q133" s="6" t="str">
        <f t="shared" ca="1" si="21"/>
        <v/>
      </c>
      <c r="R133" s="6" t="str">
        <f t="shared" ca="1" si="21"/>
        <v/>
      </c>
      <c r="S133" s="6" t="str">
        <f t="shared" ca="1" si="21"/>
        <v/>
      </c>
      <c r="T133" s="6">
        <f t="shared" ca="1" si="21"/>
        <v>1</v>
      </c>
      <c r="U133" s="6" t="str">
        <f t="shared" ca="1" si="21"/>
        <v/>
      </c>
      <c r="V133" s="6" t="str">
        <f t="shared" ca="1" si="21"/>
        <v/>
      </c>
      <c r="W133" s="6">
        <f t="shared" ca="1" si="21"/>
        <v>1</v>
      </c>
      <c r="X133" s="6" t="str">
        <f t="shared" ca="1" si="21"/>
        <v/>
      </c>
      <c r="Y133" s="6" t="str">
        <f t="shared" ca="1" si="21"/>
        <v/>
      </c>
      <c r="Z133" s="6" t="str">
        <f t="shared" ca="1" si="21"/>
        <v/>
      </c>
      <c r="AA133" s="6">
        <f t="shared" ca="1" si="21"/>
        <v>1</v>
      </c>
      <c r="AB133" s="6" t="str">
        <f t="shared" ca="1" si="21"/>
        <v/>
      </c>
      <c r="AC133" s="6" t="str">
        <f t="shared" ca="1" si="21"/>
        <v/>
      </c>
      <c r="AD133" s="6" t="str">
        <f t="shared" ca="1" si="21"/>
        <v/>
      </c>
      <c r="AE133" s="6">
        <f t="shared" ca="1" si="21"/>
        <v>1</v>
      </c>
      <c r="AF133" s="6" t="str">
        <f t="shared" ca="1" si="21"/>
        <v/>
      </c>
      <c r="AG133" s="6" t="str">
        <f t="shared" ca="1" si="21"/>
        <v/>
      </c>
      <c r="AH133" s="6" t="str">
        <f t="shared" ca="1" si="21"/>
        <v/>
      </c>
      <c r="AI133" s="6">
        <f t="shared" ca="1" si="21"/>
        <v>1</v>
      </c>
      <c r="AJ133" s="6" t="str">
        <f t="shared" ca="1" si="21"/>
        <v/>
      </c>
      <c r="AK133" s="6" t="str">
        <f t="shared" ca="1" si="21"/>
        <v/>
      </c>
    </row>
    <row r="134" spans="2:37" ht="19.899999999999999" customHeight="1" x14ac:dyDescent="0.3">
      <c r="B134" s="72" t="s">
        <v>175</v>
      </c>
      <c r="C134" s="72"/>
      <c r="D134" s="7" t="str">
        <f t="shared" ref="D134:AK134" ca="1" si="22">IF(OR(NOT(ISNUMBER(D131)),D131&lt;Job2_StartDate),"",IF(MID(Job2_Pattern,MOD(D131-Job2_StartDate,LEN(Job2_Pattern))+1,1)=Job2_Shift1_Code,1,IF(MID(Job2_Pattern,MOD(D131-Job2_StartDate,LEN(Job2_Pattern))+1,1)=Job2_Shift2_Code,2,IF(MID(Job2_Pattern,MOD(D131-Job2_StartDate,LEN(Job2_Pattern))+1,1)=Job2_Shift3_Code,3,""))))</f>
        <v/>
      </c>
      <c r="E134" s="7" t="str">
        <f t="shared" ca="1" si="22"/>
        <v/>
      </c>
      <c r="F134" s="7" t="str">
        <f t="shared" ca="1" si="22"/>
        <v/>
      </c>
      <c r="G134" s="7" t="str">
        <f t="shared" ca="1" si="22"/>
        <v/>
      </c>
      <c r="H134" s="7" t="str">
        <f t="shared" ca="1" si="22"/>
        <v/>
      </c>
      <c r="I134" s="7">
        <f t="shared" ca="1" si="22"/>
        <v>2</v>
      </c>
      <c r="J134" s="7" t="str">
        <f t="shared" ca="1" si="22"/>
        <v/>
      </c>
      <c r="K134" s="7" t="str">
        <f t="shared" ca="1" si="22"/>
        <v/>
      </c>
      <c r="L134" s="7" t="str">
        <f t="shared" ca="1" si="22"/>
        <v/>
      </c>
      <c r="M134" s="7" t="str">
        <f t="shared" ca="1" si="22"/>
        <v/>
      </c>
      <c r="N134" s="7" t="str">
        <f t="shared" ca="1" si="22"/>
        <v/>
      </c>
      <c r="O134" s="7" t="str">
        <f t="shared" ca="1" si="22"/>
        <v/>
      </c>
      <c r="P134" s="7">
        <f t="shared" ca="1" si="22"/>
        <v>2</v>
      </c>
      <c r="Q134" s="7" t="str">
        <f t="shared" ca="1" si="22"/>
        <v/>
      </c>
      <c r="R134" s="7" t="str">
        <f t="shared" ca="1" si="22"/>
        <v/>
      </c>
      <c r="S134" s="7">
        <f t="shared" ca="1" si="22"/>
        <v>2</v>
      </c>
      <c r="T134" s="7" t="str">
        <f t="shared" ca="1" si="22"/>
        <v/>
      </c>
      <c r="U134" s="7" t="str">
        <f t="shared" ca="1" si="22"/>
        <v/>
      </c>
      <c r="V134" s="7">
        <f t="shared" ca="1" si="22"/>
        <v>2</v>
      </c>
      <c r="W134" s="7" t="str">
        <f t="shared" ca="1" si="22"/>
        <v/>
      </c>
      <c r="X134" s="7" t="str">
        <f t="shared" ca="1" si="22"/>
        <v/>
      </c>
      <c r="Y134" s="7" t="str">
        <f t="shared" ca="1" si="22"/>
        <v/>
      </c>
      <c r="Z134" s="7">
        <f t="shared" ca="1" si="22"/>
        <v>2</v>
      </c>
      <c r="AA134" s="7" t="str">
        <f t="shared" ca="1" si="22"/>
        <v/>
      </c>
      <c r="AB134" s="7" t="str">
        <f t="shared" ca="1" si="22"/>
        <v/>
      </c>
      <c r="AC134" s="7" t="str">
        <f t="shared" ca="1" si="22"/>
        <v/>
      </c>
      <c r="AD134" s="7">
        <f t="shared" ca="1" si="22"/>
        <v>2</v>
      </c>
      <c r="AE134" s="7" t="str">
        <f t="shared" ca="1" si="22"/>
        <v/>
      </c>
      <c r="AF134" s="7" t="str">
        <f t="shared" ca="1" si="22"/>
        <v/>
      </c>
      <c r="AG134" s="7" t="str">
        <f t="shared" ca="1" si="22"/>
        <v/>
      </c>
      <c r="AH134" s="7">
        <f t="shared" ca="1" si="22"/>
        <v>2</v>
      </c>
      <c r="AI134" s="7" t="str">
        <f t="shared" ca="1" si="22"/>
        <v/>
      </c>
      <c r="AJ134" s="7" t="str">
        <f t="shared" ca="1" si="22"/>
        <v/>
      </c>
      <c r="AK134" s="7" t="str">
        <f t="shared" ca="1" si="22"/>
        <v/>
      </c>
    </row>
    <row r="135" spans="2:37" ht="19.899999999999999" customHeight="1" x14ac:dyDescent="0.3">
      <c r="B135" s="73" t="s">
        <v>177</v>
      </c>
      <c r="C135" s="73"/>
      <c r="D135" s="7" t="str">
        <f t="shared" ref="D135:AK135" ca="1" si="23">IF(OR(NOT(ISNUMBER(D131)),D131&lt;Job3_StartDate),"",IF(MID(Job3_Pattern,MOD(D131-Job3_StartDate,LEN(Job3_Pattern))+1,1)=Job3_Shift1_Code,1,IF(MID(Job3_Pattern,MOD(D131-Job3_StartDate,LEN(Job3_Pattern))+1,1)=Job3_Shift2_Code,2,IF(MID(Job3_Pattern,MOD(D131-Job3_StartDate,LEN(Job3_Pattern))+1,1)=Job3_Shift3_Code,3,""))))</f>
        <v/>
      </c>
      <c r="E135" s="7" t="str">
        <f t="shared" ca="1" si="23"/>
        <v/>
      </c>
      <c r="F135" s="7" t="str">
        <f t="shared" ca="1" si="23"/>
        <v/>
      </c>
      <c r="G135" s="7" t="str">
        <f t="shared" ca="1" si="23"/>
        <v/>
      </c>
      <c r="H135" s="7" t="str">
        <f t="shared" ca="1" si="23"/>
        <v/>
      </c>
      <c r="I135" s="7" t="str">
        <f t="shared" ca="1" si="23"/>
        <v/>
      </c>
      <c r="J135" s="7">
        <f t="shared" ca="1" si="23"/>
        <v>3</v>
      </c>
      <c r="K135" s="7" t="str">
        <f t="shared" ca="1" si="23"/>
        <v/>
      </c>
      <c r="L135" s="7" t="str">
        <f t="shared" ca="1" si="23"/>
        <v/>
      </c>
      <c r="M135" s="7">
        <f t="shared" ca="1" si="23"/>
        <v>3</v>
      </c>
      <c r="N135" s="7" t="str">
        <f t="shared" ca="1" si="23"/>
        <v/>
      </c>
      <c r="O135" s="7" t="str">
        <f t="shared" ca="1" si="23"/>
        <v/>
      </c>
      <c r="P135" s="7" t="str">
        <f t="shared" ca="1" si="23"/>
        <v/>
      </c>
      <c r="Q135" s="7" t="str">
        <f t="shared" ca="1" si="23"/>
        <v/>
      </c>
      <c r="R135" s="7" t="str">
        <f t="shared" ca="1" si="23"/>
        <v/>
      </c>
      <c r="S135" s="7" t="str">
        <f t="shared" ca="1" si="23"/>
        <v/>
      </c>
      <c r="T135" s="7">
        <f t="shared" ca="1" si="23"/>
        <v>3</v>
      </c>
      <c r="U135" s="7" t="str">
        <f t="shared" ca="1" si="23"/>
        <v/>
      </c>
      <c r="V135" s="7" t="str">
        <f t="shared" ca="1" si="23"/>
        <v/>
      </c>
      <c r="W135" s="7">
        <f t="shared" ca="1" si="23"/>
        <v>3</v>
      </c>
      <c r="X135" s="7" t="str">
        <f t="shared" ca="1" si="23"/>
        <v/>
      </c>
      <c r="Y135" s="7" t="str">
        <f t="shared" ca="1" si="23"/>
        <v/>
      </c>
      <c r="Z135" s="7" t="str">
        <f t="shared" ca="1" si="23"/>
        <v/>
      </c>
      <c r="AA135" s="7">
        <f t="shared" ca="1" si="23"/>
        <v>3</v>
      </c>
      <c r="AB135" s="7" t="str">
        <f t="shared" ca="1" si="23"/>
        <v/>
      </c>
      <c r="AC135" s="7" t="str">
        <f t="shared" ca="1" si="23"/>
        <v/>
      </c>
      <c r="AD135" s="7" t="str">
        <f t="shared" ca="1" si="23"/>
        <v/>
      </c>
      <c r="AE135" s="7">
        <f t="shared" ca="1" si="23"/>
        <v>3</v>
      </c>
      <c r="AF135" s="7" t="str">
        <f t="shared" ca="1" si="23"/>
        <v/>
      </c>
      <c r="AG135" s="7" t="str">
        <f t="shared" ca="1" si="23"/>
        <v/>
      </c>
      <c r="AH135" s="7" t="str">
        <f t="shared" ca="1" si="23"/>
        <v/>
      </c>
      <c r="AI135" s="7">
        <f t="shared" ca="1" si="23"/>
        <v>3</v>
      </c>
      <c r="AJ135" s="7" t="str">
        <f t="shared" ca="1" si="23"/>
        <v/>
      </c>
      <c r="AK135" s="7" t="str">
        <f t="shared" ca="1" si="23"/>
        <v/>
      </c>
    </row>
    <row r="136" spans="2:37" ht="19.899999999999999" customHeight="1" x14ac:dyDescent="0.3">
      <c r="B136" s="74"/>
      <c r="C136" s="74"/>
    </row>
    <row r="137" spans="2:37" s="75" customFormat="1" ht="19.899999999999999" customHeight="1" x14ac:dyDescent="0.3">
      <c r="B137" s="211">
        <f ca="1">DATE(CalendarYear,11,1)</f>
        <v>46327</v>
      </c>
      <c r="C137" s="77"/>
      <c r="D137" s="9">
        <f ca="1">IF(DAY(NovSun1)=1,"",IF(AND(YEAR(NovSun1+1)=CalendarYear,MONTH(NovSun1+1)=11),NovSun1+1,""))</f>
        <v>46327</v>
      </c>
      <c r="E137" s="9">
        <f ca="1">IF(DAY(NovSun1)=1,"",IF(AND(YEAR(NovSun1+2)=CalendarYear,MONTH(NovSun1+2)=11),NovSun1+2,""))</f>
        <v>46328</v>
      </c>
      <c r="F137" s="9">
        <f ca="1">IF(DAY(NovSun1)=1,"",IF(AND(YEAR(NovSun1+3)=CalendarYear,MONTH(NovSun1+3)=11),NovSun1+3,""))</f>
        <v>46329</v>
      </c>
      <c r="G137" s="9">
        <f ca="1">IF(DAY(NovSun1)=1,"",IF(AND(YEAR(NovSun1+4)=CalendarYear,MONTH(NovSun1+4)=11),NovSun1+4,""))</f>
        <v>46330</v>
      </c>
      <c r="H137" s="9">
        <f ca="1">IF(DAY(NovSun1)=1,"",IF(AND(YEAR(NovSun1+5)=CalendarYear,MONTH(NovSun1+5)=11),NovSun1+5,""))</f>
        <v>46331</v>
      </c>
      <c r="I137" s="9">
        <f ca="1">IF(DAY(NovSun1)=1,"",IF(AND(YEAR(NovSun1+6)=CalendarYear,MONTH(NovSun1+6)=11),NovSun1+6,""))</f>
        <v>46332</v>
      </c>
      <c r="J137" s="9">
        <f ca="1">IF(DAY(NovSun1)=1,IF(AND(YEAR(NovSun1)=CalendarYear,MONTH(NovSun1)=11),NovSun1,""),IF(AND(YEAR(NovSun1+7)=CalendarYear,MONTH(NovSun1+7)=11),NovSun1+7,""))</f>
        <v>46333</v>
      </c>
      <c r="K137" s="9">
        <f ca="1">IF(DAY(NovSun1)=1,IF(AND(YEAR(NovSun1+1)=CalendarYear,MONTH(NovSun1+1)=11),NovSun1+1,""),IF(AND(YEAR(NovSun1+8)=CalendarYear,MONTH(NovSun1+8)=11),NovSun1+8,""))</f>
        <v>46334</v>
      </c>
      <c r="L137" s="9">
        <f ca="1">IF(DAY(NovSun1)=1,IF(AND(YEAR(NovSun1+2)=CalendarYear,MONTH(NovSun1+2)=11),NovSun1+2,""),IF(AND(YEAR(NovSun1+9)=CalendarYear,MONTH(NovSun1+9)=11),NovSun1+9,""))</f>
        <v>46335</v>
      </c>
      <c r="M137" s="9">
        <f ca="1">IF(DAY(NovSun1)=1,IF(AND(YEAR(NovSun1+4)=CalendarYear,MONTH(NovSun1+4)=11),NovSun1+4,""),IF(AND(YEAR(NovSun1+11)=CalendarYear,MONTH(NovSun1+11)=11),NovSun1+11,""))</f>
        <v>46337</v>
      </c>
      <c r="N137" s="9">
        <f ca="1">IF(DAY(NovSun1)=1,IF(AND(YEAR(NovSun1+5)=CalendarYear,MONTH(NovSun1+5)=11),NovSun1+5,""),IF(AND(YEAR(NovSun1+12)=CalendarYear,MONTH(NovSun1+12)=11),NovSun1+12,""))</f>
        <v>46338</v>
      </c>
      <c r="O137" s="9">
        <f ca="1">IF(DAY(NovSun1)=1,IF(AND(YEAR(NovSun1+6)=CalendarYear,MONTH(NovSun1+6)=11),NovSun1+6,""),IF(AND(YEAR(NovSun1+13)=CalendarYear,MONTH(NovSun1+13)=11),NovSun1+13,""))</f>
        <v>46339</v>
      </c>
      <c r="P137" s="9">
        <f ca="1">IF(DAY(NovSun1)=1,IF(AND(YEAR(NovSun1+7)=CalendarYear,MONTH(NovSun1+7)=11),NovSun1+7,""),IF(AND(YEAR(NovSun1+14)=CalendarYear,MONTH(NovSun1+14)=11),NovSun1+14,""))</f>
        <v>46340</v>
      </c>
      <c r="Q137" s="9">
        <f ca="1">IF(DAY(NovSun1)=1,IF(AND(YEAR(NovSun1+9)=CalendarYear,MONTH(NovSun1+9)=11),NovSun1+9,""),IF(AND(YEAR(NovSun1+16)=CalendarYear,MONTH(NovSun1+16)=11),NovSun1+16,""))</f>
        <v>46342</v>
      </c>
      <c r="R137" s="9">
        <f ca="1">IF(DAY(NovSun1)=1,IF(AND(YEAR(NovSun1+10)=CalendarYear,MONTH(NovSun1+10)=11),NovSun1+10,""),IF(AND(YEAR(NovSun1+17)=CalendarYear,MONTH(NovSun1+17)=11),NovSun1+17,""))</f>
        <v>46343</v>
      </c>
      <c r="S137" s="9">
        <f ca="1">IF(DAY(NovSun1)=1,IF(AND(YEAR(NovSun1+11)=CalendarYear,MONTH(NovSun1+11)=11),NovSun1+11,""),IF(AND(YEAR(NovSun1+18)=CalendarYear,MONTH(NovSun1+18)=11),NovSun1+18,""))</f>
        <v>46344</v>
      </c>
      <c r="T137" s="9">
        <f ca="1">IF(DAY(NovSun1)=1,IF(AND(YEAR(NovSun1+12)=CalendarYear,MONTH(NovSun1+12)=11),NovSun1+12,""),IF(AND(YEAR(NovSun1+19)=CalendarYear,MONTH(NovSun1+19)=11),NovSun1+19,""))</f>
        <v>46345</v>
      </c>
      <c r="U137" s="9">
        <f ca="1">IF(DAY(NovSun1)=1,IF(AND(YEAR(NovSun1+14)=CalendarYear,MONTH(NovSun1+14)=11),NovSun1+14,""),IF(AND(YEAR(NovSun1+21)=CalendarYear,MONTH(NovSun1+21)=11),NovSun1+21,""))</f>
        <v>46347</v>
      </c>
      <c r="V137" s="9">
        <f ca="1">IF(DAY(NovSun1)=1,IF(AND(YEAR(NovSun1+15)=CalendarYear,MONTH(NovSun1+15)=11),NovSun1+15,""),IF(AND(YEAR(NovSun1+22)=CalendarYear,MONTH(NovSun1+22)=11),NovSun1+22,""))</f>
        <v>46348</v>
      </c>
      <c r="W137" s="9">
        <f ca="1">IF(DAY(NovSun1)=1,IF(AND(YEAR(NovSun1+16)=CalendarYear,MONTH(NovSun1+16)=11),NovSun1+16,""),IF(AND(YEAR(NovSun1+23)=CalendarYear,MONTH(NovSun1+23)=11),NovSun1+23,""))</f>
        <v>46349</v>
      </c>
      <c r="X137" s="9">
        <f ca="1">IF(DAY(NovSun1)=1,IF(AND(YEAR(NovSun1+17)=CalendarYear,MONTH(NovSun1+17)=11),NovSun1+17,""),IF(AND(YEAR(NovSun1+24)=CalendarYear,MONTH(NovSun1+24)=11),NovSun1+24,""))</f>
        <v>46350</v>
      </c>
      <c r="Y137" s="9">
        <f ca="1">IF(DAY(NovSun1)=1,IF(AND(YEAR(NovSun1+18)=CalendarYear,MONTH(NovSun1+18)=11),NovSun1+18,""),IF(AND(YEAR(NovSun1+25)=CalendarYear,MONTH(NovSun1+25)=11),NovSun1+25,""))</f>
        <v>46351</v>
      </c>
      <c r="Z137" s="9">
        <f ca="1">IF(DAY(NovSun1)=1,IF(AND(YEAR(NovSun1+19)=CalendarYear,MONTH(NovSun1+19)=11),NovSun1+19,""),IF(AND(YEAR(NovSun1+26)=CalendarYear,MONTH(NovSun1+26)=11),NovSun1+26,""))</f>
        <v>46352</v>
      </c>
      <c r="AA137" s="9">
        <f ca="1">IF(DAY(NovSun1)=1,IF(AND(YEAR(NovSun1+20)=CalendarYear,MONTH(NovSun1+20)=11),NovSun1+20,""),IF(AND(YEAR(NovSun1+27)=CalendarYear,MONTH(NovSun1+27)=11),NovSun1+27,""))</f>
        <v>46353</v>
      </c>
      <c r="AB137" s="9">
        <f ca="1">IF(DAY(NovSun1)=1,IF(AND(YEAR(NovSun1+21)=CalendarYear,MONTH(NovSun1+21)=11),NovSun1+21,""),IF(AND(YEAR(NovSun1+28)=CalendarYear,MONTH(NovSun1+28)=11),NovSun1+28,""))</f>
        <v>46354</v>
      </c>
      <c r="AC137" s="9">
        <f ca="1">IF(DAY(NovSun1)=1,IF(AND(YEAR(NovSun1+22)=CalendarYear,MONTH(NovSun1+22)=11),NovSun1+22,""),IF(AND(YEAR(NovSun1+29)=CalendarYear,MONTH(NovSun1+29)=11),NovSun1+29,""))</f>
        <v>46355</v>
      </c>
      <c r="AD137" s="9">
        <f ca="1">IF(DAY(NovSun1)=1,IF(AND(YEAR(NovSun1+23)=CalendarYear,MONTH(NovSun1+23)=11),NovSun1+23,""),IF(AND(YEAR(NovSun1+30)=CalendarYear,MONTH(NovSun1+30)=11),NovSun1+30,""))</f>
        <v>46356</v>
      </c>
      <c r="AE137" s="9" t="str">
        <f ca="1">IF(DAY(NovSun1)=1,IF(AND(YEAR(NovSun1+24)=CalendarYear,MONTH(NovSun1+24)=11),NovSun1+24,""),IF(AND(YEAR(NovSun1+31)=CalendarYear,MONTH(NovSun1+31)=11),NovSun1+31,""))</f>
        <v/>
      </c>
      <c r="AF137" s="9" t="str">
        <f ca="1">IF(DAY(NovSun1)=1,IF(AND(YEAR(NovSun1+25)=CalendarYear,MONTH(NovSun1+25)=11),NovSun1+25,""),IF(AND(YEAR(NovSun1+32)=CalendarYear,MONTH(NovSun1+32)=11),NovSun1+32,""))</f>
        <v/>
      </c>
      <c r="AG137" s="9" t="str">
        <f ca="1">IF(DAY(NovSun1)=1,IF(AND(YEAR(NovSun1+26)=CalendarYear,MONTH(NovSun1+26)=11),NovSun1+26,""),IF(AND(YEAR(NovSun1+33)=CalendarYear,MONTH(NovSun1+33)=11),NovSun1+33,""))</f>
        <v/>
      </c>
      <c r="AH137" s="9" t="str">
        <f ca="1">IF(DAY(NovSun1)=1,IF(AND(YEAR(NovSun1+27)=CalendarYear,MONTH(NovSun1+27)=11),NovSun1+27,""),IF(AND(YEAR(NovSun1+34)=CalendarYear,MONTH(NovSun1+34)=11),NovSun1+34,""))</f>
        <v/>
      </c>
      <c r="AI137" s="9" t="str">
        <f ca="1">IF(DAY(NovSun1)=1,IF(AND(YEAR(NovSun1+28)=CalendarYear,MONTH(NovSun1+28)=11),NovSun1+28,""),IF(AND(YEAR(NovSun1+35)=CalendarYear,MONTH(NovSun1+35)=11),NovSun1+35,""))</f>
        <v/>
      </c>
      <c r="AJ137" s="9" t="str">
        <f ca="1">IF(DAY(NovSun1)=1,IF(AND(YEAR(NovSun1+29)=CalendarYear,MONTH(NovSun1+29)=11),NovSun1+29,""),IF(AND(YEAR(NovSun1+36)=CalendarYear,MONTH(NovSun1+36)=11),NovSun1+36,""))</f>
        <v/>
      </c>
      <c r="AK137" s="11" t="str">
        <f ca="1">IF(DAY(NovSun1)=1,IF(AND(YEAR(NovSun1+30)=CalendarYear,MONTH(NovSun1+30)=11),NovSun1+30,""),IF(AND(YEAR(NovSun1+37)=CalendarYear,MONTH(NovSun1+37)=11),NovSun1+37,""))</f>
        <v/>
      </c>
    </row>
    <row r="138" spans="2:37" s="75" customFormat="1" ht="19.899999999999999" customHeight="1" x14ac:dyDescent="0.3">
      <c r="B138" s="212"/>
      <c r="C138" s="78"/>
      <c r="D138" s="10" t="s">
        <v>15</v>
      </c>
      <c r="E138" s="10" t="s">
        <v>9</v>
      </c>
      <c r="F138" s="10" t="s">
        <v>10</v>
      </c>
      <c r="G138" s="10" t="s">
        <v>11</v>
      </c>
      <c r="H138" s="10" t="s">
        <v>16</v>
      </c>
      <c r="I138" s="10" t="s">
        <v>13</v>
      </c>
      <c r="J138" s="10" t="s">
        <v>14</v>
      </c>
      <c r="K138" s="10" t="s">
        <v>15</v>
      </c>
      <c r="L138" s="10" t="s">
        <v>9</v>
      </c>
      <c r="M138" s="10" t="s">
        <v>11</v>
      </c>
      <c r="N138" s="10" t="s">
        <v>16</v>
      </c>
      <c r="O138" s="10" t="s">
        <v>13</v>
      </c>
      <c r="P138" s="10" t="s">
        <v>14</v>
      </c>
      <c r="Q138" s="10" t="s">
        <v>9</v>
      </c>
      <c r="R138" s="10" t="s">
        <v>10</v>
      </c>
      <c r="S138" s="10" t="s">
        <v>11</v>
      </c>
      <c r="T138" s="10" t="s">
        <v>16</v>
      </c>
      <c r="U138" s="10" t="s">
        <v>14</v>
      </c>
      <c r="V138" s="10" t="s">
        <v>15</v>
      </c>
      <c r="W138" s="10" t="s">
        <v>9</v>
      </c>
      <c r="X138" s="10" t="s">
        <v>10</v>
      </c>
      <c r="Y138" s="10" t="s">
        <v>11</v>
      </c>
      <c r="Z138" s="10" t="s">
        <v>16</v>
      </c>
      <c r="AA138" s="10" t="s">
        <v>13</v>
      </c>
      <c r="AB138" s="10" t="s">
        <v>14</v>
      </c>
      <c r="AC138" s="10" t="s">
        <v>15</v>
      </c>
      <c r="AD138" s="10" t="s">
        <v>9</v>
      </c>
      <c r="AE138" s="10" t="s">
        <v>10</v>
      </c>
      <c r="AF138" s="10" t="s">
        <v>11</v>
      </c>
      <c r="AG138" s="10" t="s">
        <v>16</v>
      </c>
      <c r="AH138" s="10" t="s">
        <v>13</v>
      </c>
      <c r="AI138" s="10" t="s">
        <v>14</v>
      </c>
      <c r="AJ138" s="10" t="s">
        <v>15</v>
      </c>
      <c r="AK138" s="12" t="s">
        <v>9</v>
      </c>
    </row>
    <row r="139" spans="2:37" ht="19.899999999999999" customHeight="1" x14ac:dyDescent="0.3">
      <c r="B139" s="71" t="s">
        <v>174</v>
      </c>
      <c r="C139" s="71"/>
      <c r="D139" s="6" t="str">
        <f t="shared" ref="D139:AK139" ca="1" si="24">IF(OR(NOT(ISNUMBER(D137)),D137&lt;Job1_StartDate),"",IF(MID(Job1_Pattern,MOD(D137-Job1_StartDate,LEN(Job1_Pattern))+1,1)=Job1_Shift1_Code,1,IF(MID(Job1_Pattern,MOD(D137-Job1_StartDate,LEN(Job1_Pattern))+1,1)=Job1_Shift2_Code,2,IF(MID(Job1_Pattern,MOD(D137-Job1_StartDate,LEN(Job1_Pattern))+1,1)=Job1_Shift3_Code,3,""))))</f>
        <v/>
      </c>
      <c r="E139" s="6" t="str">
        <f t="shared" ca="1" si="24"/>
        <v/>
      </c>
      <c r="F139" s="6" t="str">
        <f t="shared" ca="1" si="24"/>
        <v/>
      </c>
      <c r="G139" s="6">
        <f t="shared" ca="1" si="24"/>
        <v>1</v>
      </c>
      <c r="H139" s="6" t="str">
        <f t="shared" ca="1" si="24"/>
        <v/>
      </c>
      <c r="I139" s="6" t="str">
        <f t="shared" ca="1" si="24"/>
        <v/>
      </c>
      <c r="J139" s="6" t="str">
        <f t="shared" ca="1" si="24"/>
        <v/>
      </c>
      <c r="K139" s="6">
        <f t="shared" ca="1" si="24"/>
        <v>1</v>
      </c>
      <c r="L139" s="6" t="str">
        <f t="shared" ca="1" si="24"/>
        <v/>
      </c>
      <c r="M139" s="6" t="str">
        <f t="shared" ca="1" si="24"/>
        <v/>
      </c>
      <c r="N139" s="6">
        <f t="shared" ca="1" si="24"/>
        <v>1</v>
      </c>
      <c r="O139" s="6" t="str">
        <f t="shared" ca="1" si="24"/>
        <v/>
      </c>
      <c r="P139" s="6" t="str">
        <f t="shared" ca="1" si="24"/>
        <v/>
      </c>
      <c r="Q139" s="6">
        <f t="shared" ca="1" si="24"/>
        <v>1</v>
      </c>
      <c r="R139" s="6" t="str">
        <f t="shared" ca="1" si="24"/>
        <v/>
      </c>
      <c r="S139" s="6" t="str">
        <f t="shared" ca="1" si="24"/>
        <v/>
      </c>
      <c r="T139" s="6" t="str">
        <f t="shared" ca="1" si="24"/>
        <v/>
      </c>
      <c r="U139" s="6" t="str">
        <f t="shared" ca="1" si="24"/>
        <v/>
      </c>
      <c r="V139" s="6" t="str">
        <f t="shared" ca="1" si="24"/>
        <v/>
      </c>
      <c r="W139" s="6" t="str">
        <f t="shared" ca="1" si="24"/>
        <v/>
      </c>
      <c r="X139" s="6">
        <f t="shared" ca="1" si="24"/>
        <v>1</v>
      </c>
      <c r="Y139" s="6" t="str">
        <f t="shared" ca="1" si="24"/>
        <v/>
      </c>
      <c r="Z139" s="6" t="str">
        <f t="shared" ca="1" si="24"/>
        <v/>
      </c>
      <c r="AA139" s="6" t="str">
        <f t="shared" ca="1" si="24"/>
        <v/>
      </c>
      <c r="AB139" s="6">
        <f t="shared" ca="1" si="24"/>
        <v>1</v>
      </c>
      <c r="AC139" s="6" t="str">
        <f t="shared" ca="1" si="24"/>
        <v/>
      </c>
      <c r="AD139" s="6" t="str">
        <f t="shared" ca="1" si="24"/>
        <v/>
      </c>
      <c r="AE139" s="6" t="str">
        <f t="shared" ca="1" si="24"/>
        <v/>
      </c>
      <c r="AF139" s="6" t="str">
        <f t="shared" ca="1" si="24"/>
        <v/>
      </c>
      <c r="AG139" s="6" t="str">
        <f t="shared" ca="1" si="24"/>
        <v/>
      </c>
      <c r="AH139" s="6" t="str">
        <f t="shared" ca="1" si="24"/>
        <v/>
      </c>
      <c r="AI139" s="6" t="str">
        <f t="shared" ca="1" si="24"/>
        <v/>
      </c>
      <c r="AJ139" s="6" t="str">
        <f t="shared" ca="1" si="24"/>
        <v/>
      </c>
      <c r="AK139" s="6" t="str">
        <f t="shared" ca="1" si="24"/>
        <v/>
      </c>
    </row>
    <row r="140" spans="2:37" ht="19.899999999999999" customHeight="1" x14ac:dyDescent="0.3">
      <c r="B140" s="72" t="s">
        <v>175</v>
      </c>
      <c r="C140" s="72"/>
      <c r="D140" s="7" t="str">
        <f t="shared" ref="D140:AK140" ca="1" si="25">IF(OR(NOT(ISNUMBER(D137)),D137&lt;Job2_StartDate),"",IF(MID(Job2_Pattern,MOD(D137-Job2_StartDate,LEN(Job2_Pattern))+1,1)=Job2_Shift1_Code,1,IF(MID(Job2_Pattern,MOD(D137-Job2_StartDate,LEN(Job2_Pattern))+1,1)=Job2_Shift2_Code,2,IF(MID(Job2_Pattern,MOD(D137-Job2_StartDate,LEN(Job2_Pattern))+1,1)=Job2_Shift3_Code,3,""))))</f>
        <v/>
      </c>
      <c r="E140" s="7" t="str">
        <f t="shared" ca="1" si="25"/>
        <v/>
      </c>
      <c r="F140" s="7">
        <f t="shared" ca="1" si="25"/>
        <v>2</v>
      </c>
      <c r="G140" s="7" t="str">
        <f t="shared" ca="1" si="25"/>
        <v/>
      </c>
      <c r="H140" s="7" t="str">
        <f t="shared" ca="1" si="25"/>
        <v/>
      </c>
      <c r="I140" s="7" t="str">
        <f t="shared" ca="1" si="25"/>
        <v/>
      </c>
      <c r="J140" s="7">
        <f t="shared" ca="1" si="25"/>
        <v>2</v>
      </c>
      <c r="K140" s="7" t="str">
        <f t="shared" ca="1" si="25"/>
        <v/>
      </c>
      <c r="L140" s="7" t="str">
        <f t="shared" ca="1" si="25"/>
        <v/>
      </c>
      <c r="M140" s="7">
        <f t="shared" ca="1" si="25"/>
        <v>2</v>
      </c>
      <c r="N140" s="7" t="str">
        <f t="shared" ca="1" si="25"/>
        <v/>
      </c>
      <c r="O140" s="7" t="str">
        <f t="shared" ca="1" si="25"/>
        <v/>
      </c>
      <c r="P140" s="7" t="str">
        <f t="shared" ca="1" si="25"/>
        <v/>
      </c>
      <c r="Q140" s="7" t="str">
        <f t="shared" ca="1" si="25"/>
        <v/>
      </c>
      <c r="R140" s="7" t="str">
        <f t="shared" ca="1" si="25"/>
        <v/>
      </c>
      <c r="S140" s="7" t="str">
        <f t="shared" ca="1" si="25"/>
        <v/>
      </c>
      <c r="T140" s="7">
        <f t="shared" ca="1" si="25"/>
        <v>2</v>
      </c>
      <c r="U140" s="7" t="str">
        <f t="shared" ca="1" si="25"/>
        <v/>
      </c>
      <c r="V140" s="7" t="str">
        <f t="shared" ca="1" si="25"/>
        <v/>
      </c>
      <c r="W140" s="7">
        <f t="shared" ca="1" si="25"/>
        <v>2</v>
      </c>
      <c r="X140" s="7" t="str">
        <f t="shared" ca="1" si="25"/>
        <v/>
      </c>
      <c r="Y140" s="7" t="str">
        <f t="shared" ca="1" si="25"/>
        <v/>
      </c>
      <c r="Z140" s="7" t="str">
        <f t="shared" ca="1" si="25"/>
        <v/>
      </c>
      <c r="AA140" s="7">
        <f t="shared" ca="1" si="25"/>
        <v>2</v>
      </c>
      <c r="AB140" s="7" t="str">
        <f t="shared" ca="1" si="25"/>
        <v/>
      </c>
      <c r="AC140" s="7" t="str">
        <f t="shared" ca="1" si="25"/>
        <v/>
      </c>
      <c r="AD140" s="7" t="str">
        <f t="shared" ca="1" si="25"/>
        <v/>
      </c>
      <c r="AE140" s="7" t="str">
        <f t="shared" ca="1" si="25"/>
        <v/>
      </c>
      <c r="AF140" s="7" t="str">
        <f t="shared" ca="1" si="25"/>
        <v/>
      </c>
      <c r="AG140" s="7" t="str">
        <f t="shared" ca="1" si="25"/>
        <v/>
      </c>
      <c r="AH140" s="7" t="str">
        <f t="shared" ca="1" si="25"/>
        <v/>
      </c>
      <c r="AI140" s="7" t="str">
        <f t="shared" ca="1" si="25"/>
        <v/>
      </c>
      <c r="AJ140" s="7" t="str">
        <f t="shared" ca="1" si="25"/>
        <v/>
      </c>
      <c r="AK140" s="7" t="str">
        <f t="shared" ca="1" si="25"/>
        <v/>
      </c>
    </row>
    <row r="141" spans="2:37" ht="19.899999999999999" customHeight="1" x14ac:dyDescent="0.3">
      <c r="B141" s="73" t="s">
        <v>177</v>
      </c>
      <c r="C141" s="73"/>
      <c r="D141" s="7" t="str">
        <f t="shared" ref="D141:AK141" ca="1" si="26">IF(OR(NOT(ISNUMBER(D137)),D137&lt;Job3_StartDate),"",IF(MID(Job3_Pattern,MOD(D137-Job3_StartDate,LEN(Job3_Pattern))+1,1)=Job3_Shift1_Code,1,IF(MID(Job3_Pattern,MOD(D137-Job3_StartDate,LEN(Job3_Pattern))+1,1)=Job3_Shift2_Code,2,IF(MID(Job3_Pattern,MOD(D137-Job3_StartDate,LEN(Job3_Pattern))+1,1)=Job3_Shift3_Code,3,""))))</f>
        <v/>
      </c>
      <c r="E141" s="7" t="str">
        <f t="shared" ca="1" si="26"/>
        <v/>
      </c>
      <c r="F141" s="7" t="str">
        <f t="shared" ca="1" si="26"/>
        <v/>
      </c>
      <c r="G141" s="7">
        <f t="shared" ca="1" si="26"/>
        <v>3</v>
      </c>
      <c r="H141" s="7" t="str">
        <f t="shared" ca="1" si="26"/>
        <v/>
      </c>
      <c r="I141" s="7" t="str">
        <f t="shared" ca="1" si="26"/>
        <v/>
      </c>
      <c r="J141" s="7" t="str">
        <f t="shared" ca="1" si="26"/>
        <v/>
      </c>
      <c r="K141" s="7">
        <f t="shared" ca="1" si="26"/>
        <v>3</v>
      </c>
      <c r="L141" s="7" t="str">
        <f t="shared" ca="1" si="26"/>
        <v/>
      </c>
      <c r="M141" s="7" t="str">
        <f t="shared" ca="1" si="26"/>
        <v/>
      </c>
      <c r="N141" s="7">
        <f t="shared" ca="1" si="26"/>
        <v>3</v>
      </c>
      <c r="O141" s="7" t="str">
        <f t="shared" ca="1" si="26"/>
        <v/>
      </c>
      <c r="P141" s="7" t="str">
        <f t="shared" ca="1" si="26"/>
        <v/>
      </c>
      <c r="Q141" s="7">
        <f t="shared" ca="1" si="26"/>
        <v>3</v>
      </c>
      <c r="R141" s="7" t="str">
        <f t="shared" ca="1" si="26"/>
        <v/>
      </c>
      <c r="S141" s="7" t="str">
        <f t="shared" ca="1" si="26"/>
        <v/>
      </c>
      <c r="T141" s="7" t="str">
        <f t="shared" ca="1" si="26"/>
        <v/>
      </c>
      <c r="U141" s="7" t="str">
        <f t="shared" ca="1" si="26"/>
        <v/>
      </c>
      <c r="V141" s="7" t="str">
        <f t="shared" ca="1" si="26"/>
        <v/>
      </c>
      <c r="W141" s="7" t="str">
        <f t="shared" ca="1" si="26"/>
        <v/>
      </c>
      <c r="X141" s="7">
        <f t="shared" ca="1" si="26"/>
        <v>3</v>
      </c>
      <c r="Y141" s="7" t="str">
        <f t="shared" ca="1" si="26"/>
        <v/>
      </c>
      <c r="Z141" s="7" t="str">
        <f t="shared" ca="1" si="26"/>
        <v/>
      </c>
      <c r="AA141" s="7" t="str">
        <f t="shared" ca="1" si="26"/>
        <v/>
      </c>
      <c r="AB141" s="7">
        <f t="shared" ca="1" si="26"/>
        <v>3</v>
      </c>
      <c r="AC141" s="7" t="str">
        <f t="shared" ca="1" si="26"/>
        <v/>
      </c>
      <c r="AD141" s="7" t="str">
        <f t="shared" ca="1" si="26"/>
        <v/>
      </c>
      <c r="AE141" s="7" t="str">
        <f t="shared" ca="1" si="26"/>
        <v/>
      </c>
      <c r="AF141" s="7" t="str">
        <f t="shared" ca="1" si="26"/>
        <v/>
      </c>
      <c r="AG141" s="7" t="str">
        <f t="shared" ca="1" si="26"/>
        <v/>
      </c>
      <c r="AH141" s="7" t="str">
        <f t="shared" ca="1" si="26"/>
        <v/>
      </c>
      <c r="AI141" s="7" t="str">
        <f t="shared" ca="1" si="26"/>
        <v/>
      </c>
      <c r="AJ141" s="7" t="str">
        <f t="shared" ca="1" si="26"/>
        <v/>
      </c>
      <c r="AK141" s="7" t="str">
        <f t="shared" ca="1" si="26"/>
        <v/>
      </c>
    </row>
    <row r="142" spans="2:37" ht="19.899999999999999" customHeight="1" x14ac:dyDescent="0.3">
      <c r="B142" s="74"/>
      <c r="C142" s="74"/>
    </row>
    <row r="143" spans="2:37" s="75" customFormat="1" ht="19.899999999999999" customHeight="1" x14ac:dyDescent="0.3">
      <c r="B143" s="211">
        <f ca="1">DATE(CalendarYear,12,1)</f>
        <v>46357</v>
      </c>
      <c r="C143" s="77"/>
      <c r="D143" s="9" t="str">
        <f ca="1">IF(DAY(DecSun1)=1,"",IF(AND(YEAR(DecSun1+1)=CalendarYear,MONTH(DecSun1+1)=12),DecSun1+1,""))</f>
        <v/>
      </c>
      <c r="E143" s="9" t="str">
        <f ca="1">IF(DAY(DecSun1)=1,"",IF(AND(YEAR(DecSun1+2)=CalendarYear,MONTH(DecSun1+2)=12),DecSun1+2,""))</f>
        <v/>
      </c>
      <c r="F143" s="9">
        <f ca="1">IF(DAY(DecSun1)=1,"",IF(AND(YEAR(DecSun1+3)=CalendarYear,MONTH(DecSun1+3)=12),DecSun1+3,""))</f>
        <v>46357</v>
      </c>
      <c r="G143" s="9">
        <f ca="1">IF(DAY(DecSun1)=1,"",IF(AND(YEAR(DecSun1+4)=CalendarYear,MONTH(DecSun1+4)=12),DecSun1+4,""))</f>
        <v>46358</v>
      </c>
      <c r="H143" s="9">
        <f ca="1">IF(DAY(DecSun1)=1,"",IF(AND(YEAR(DecSun1+5)=CalendarYear,MONTH(DecSun1+5)=12),DecSun1+5,""))</f>
        <v>46359</v>
      </c>
      <c r="I143" s="9">
        <f ca="1">IF(DAY(DecSun1)=1,"",IF(AND(YEAR(DecSun1+6)=CalendarYear,MONTH(DecSun1+6)=12),DecSun1+6,""))</f>
        <v>46360</v>
      </c>
      <c r="J143" s="9">
        <f ca="1">IF(DAY(DecSun1)=1,IF(AND(YEAR(DecSun1)=CalendarYear,MONTH(DecSun1)=12),DecSun1,""),IF(AND(YEAR(DecSun1+7)=CalendarYear,MONTH(DecSun1+7)=12),DecSun1+7,""))</f>
        <v>46361</v>
      </c>
      <c r="K143" s="9">
        <f ca="1">IF(DAY(DecSun1)=1,IF(AND(YEAR(DecSun1+1)=CalendarYear,MONTH(DecSun1+1)=12),DecSun1+1,""),IF(AND(YEAR(DecSun1+8)=CalendarYear,MONTH(DecSun1+8)=12),DecSun1+8,""))</f>
        <v>46362</v>
      </c>
      <c r="L143" s="9">
        <f ca="1">IF(DAY(DecSun1)=1,IF(AND(YEAR(DecSun1+2)=CalendarYear,MONTH(DecSun1+2)=12),DecSun1+2,""),IF(AND(YEAR(DecSun1+9)=CalendarYear,MONTH(DecSun1+9)=12),DecSun1+9,""))</f>
        <v>46363</v>
      </c>
      <c r="M143" s="9">
        <f ca="1">IF(DAY(DecSun1)=1,IF(AND(YEAR(DecSun1+4)=CalendarYear,MONTH(DecSun1+4)=12),DecSun1+4,""),IF(AND(YEAR(DecSun1+11)=CalendarYear,MONTH(DecSun1+11)=12),DecSun1+11,""))</f>
        <v>46365</v>
      </c>
      <c r="N143" s="9">
        <f ca="1">IF(DAY(DecSun1)=1,IF(AND(YEAR(DecSun1+5)=CalendarYear,MONTH(DecSun1+5)=12),DecSun1+5,""),IF(AND(YEAR(DecSun1+12)=CalendarYear,MONTH(DecSun1+12)=12),DecSun1+12,""))</f>
        <v>46366</v>
      </c>
      <c r="O143" s="9">
        <f ca="1">IF(DAY(DecSun1)=1,IF(AND(YEAR(DecSun1+6)=CalendarYear,MONTH(DecSun1+6)=12),DecSun1+6,""),IF(AND(YEAR(DecSun1+13)=CalendarYear,MONTH(DecSun1+13)=12),DecSun1+13,""))</f>
        <v>46367</v>
      </c>
      <c r="P143" s="9">
        <f ca="1">IF(DAY(DecSun1)=1,IF(AND(YEAR(DecSun1+7)=CalendarYear,MONTH(DecSun1+7)=12),DecSun1+7,""),IF(AND(YEAR(DecSun1+14)=CalendarYear,MONTH(DecSun1+14)=12),DecSun1+14,""))</f>
        <v>46368</v>
      </c>
      <c r="Q143" s="9">
        <f ca="1">IF(DAY(DecSun1)=1,IF(AND(YEAR(DecSun1+9)=CalendarYear,MONTH(DecSun1+9)=12),DecSun1+9,""),IF(AND(YEAR(DecSun1+16)=CalendarYear,MONTH(DecSun1+16)=12),DecSun1+16,""))</f>
        <v>46370</v>
      </c>
      <c r="R143" s="9">
        <f ca="1">IF(DAY(DecSun1)=1,IF(AND(YEAR(DecSun1+10)=CalendarYear,MONTH(DecSun1+10)=12),DecSun1+10,""),IF(AND(YEAR(DecSun1+17)=CalendarYear,MONTH(DecSun1+17)=12),DecSun1+17,""))</f>
        <v>46371</v>
      </c>
      <c r="S143" s="9">
        <f ca="1">IF(DAY(DecSun1)=1,IF(AND(YEAR(DecSun1+11)=CalendarYear,MONTH(DecSun1+11)=12),DecSun1+11,""),IF(AND(YEAR(DecSun1+18)=CalendarYear,MONTH(DecSun1+18)=12),DecSun1+18,""))</f>
        <v>46372</v>
      </c>
      <c r="T143" s="9">
        <f ca="1">IF(DAY(DecSun1)=1,IF(AND(YEAR(DecSun1+12)=CalendarYear,MONTH(DecSun1+12)=12),DecSun1+12,""),IF(AND(YEAR(DecSun1+19)=CalendarYear,MONTH(DecSun1+19)=12),DecSun1+19,""))</f>
        <v>46373</v>
      </c>
      <c r="U143" s="9">
        <f ca="1">IF(DAY(DecSun1)=1,IF(AND(YEAR(DecSun1+14)=CalendarYear,MONTH(DecSun1+14)=12),DecSun1+14,""),IF(AND(YEAR(DecSun1+21)=CalendarYear,MONTH(DecSun1+21)=12),DecSun1+21,""))</f>
        <v>46375</v>
      </c>
      <c r="V143" s="9">
        <f ca="1">IF(DAY(DecSun1)=1,IF(AND(YEAR(DecSun1+15)=CalendarYear,MONTH(DecSun1+15)=12),DecSun1+15,""),IF(AND(YEAR(DecSun1+22)=CalendarYear,MONTH(DecSun1+22)=12),DecSun1+22,""))</f>
        <v>46376</v>
      </c>
      <c r="W143" s="9">
        <f ca="1">IF(DAY(DecSun1)=1,IF(AND(YEAR(DecSun1+16)=CalendarYear,MONTH(DecSun1+16)=12),DecSun1+16,""),IF(AND(YEAR(DecSun1+23)=CalendarYear,MONTH(DecSun1+23)=12),DecSun1+23,""))</f>
        <v>46377</v>
      </c>
      <c r="X143" s="9">
        <f ca="1">IF(DAY(DecSun1)=1,IF(AND(YEAR(DecSun1+17)=CalendarYear,MONTH(DecSun1+17)=12),DecSun1+17,""),IF(AND(YEAR(DecSun1+24)=CalendarYear,MONTH(DecSun1+24)=12),DecSun1+24,""))</f>
        <v>46378</v>
      </c>
      <c r="Y143" s="9">
        <f ca="1">IF(DAY(DecSun1)=1,IF(AND(YEAR(DecSun1+18)=CalendarYear,MONTH(DecSun1+18)=12),DecSun1+18,""),IF(AND(YEAR(DecSun1+25)=CalendarYear,MONTH(DecSun1+25)=12),DecSun1+25,""))</f>
        <v>46379</v>
      </c>
      <c r="Z143" s="9">
        <f ca="1">IF(DAY(DecSun1)=1,IF(AND(YEAR(DecSun1+19)=CalendarYear,MONTH(DecSun1+19)=12),DecSun1+19,""),IF(AND(YEAR(DecSun1+26)=CalendarYear,MONTH(DecSun1+26)=12),DecSun1+26,""))</f>
        <v>46380</v>
      </c>
      <c r="AA143" s="9">
        <f ca="1">IF(DAY(DecSun1)=1,IF(AND(YEAR(DecSun1+20)=CalendarYear,MONTH(DecSun1+20)=12),DecSun1+20,""),IF(AND(YEAR(DecSun1+27)=CalendarYear,MONTH(DecSun1+27)=12),DecSun1+27,""))</f>
        <v>46381</v>
      </c>
      <c r="AB143" s="9">
        <f ca="1">IF(DAY(DecSun1)=1,IF(AND(YEAR(DecSun1+21)=CalendarYear,MONTH(DecSun1+21)=12),DecSun1+21,""),IF(AND(YEAR(DecSun1+28)=CalendarYear,MONTH(DecSun1+28)=12),DecSun1+28,""))</f>
        <v>46382</v>
      </c>
      <c r="AC143" s="9">
        <f ca="1">IF(DAY(DecSun1)=1,IF(AND(YEAR(DecSun1+22)=CalendarYear,MONTH(DecSun1+22)=12),DecSun1+22,""),IF(AND(YEAR(DecSun1+29)=CalendarYear,MONTH(DecSun1+29)=12),DecSun1+29,""))</f>
        <v>46383</v>
      </c>
      <c r="AD143" s="9">
        <f ca="1">IF(DAY(DecSun1)=1,IF(AND(YEAR(DecSun1+23)=CalendarYear,MONTH(DecSun1+23)=12),DecSun1+23,""),IF(AND(YEAR(DecSun1+30)=CalendarYear,MONTH(DecSun1+30)=12),DecSun1+30,""))</f>
        <v>46384</v>
      </c>
      <c r="AE143" s="9">
        <f ca="1">IF(DAY(DecSun1)=1,IF(AND(YEAR(DecSun1+24)=CalendarYear,MONTH(DecSun1+24)=12),DecSun1+24,""),IF(AND(YEAR(DecSun1+31)=CalendarYear,MONTH(DecSun1+31)=12),DecSun1+31,""))</f>
        <v>46385</v>
      </c>
      <c r="AF143" s="9">
        <f ca="1">IF(DAY(DecSun1)=1,IF(AND(YEAR(DecSun1+25)=CalendarYear,MONTH(DecSun1+25)=12),DecSun1+25,""),IF(AND(YEAR(DecSun1+32)=CalendarYear,MONTH(DecSun1+32)=12),DecSun1+32,""))</f>
        <v>46386</v>
      </c>
      <c r="AG143" s="9">
        <f ca="1">IF(DAY(DecSun1)=1,IF(AND(YEAR(DecSun1+26)=CalendarYear,MONTH(DecSun1+26)=12),DecSun1+26,""),IF(AND(YEAR(DecSun1+33)=CalendarYear,MONTH(DecSun1+33)=12),DecSun1+33,""))</f>
        <v>46387</v>
      </c>
      <c r="AH143" s="9" t="str">
        <f ca="1">IF(DAY(DecSun1)=1,IF(AND(YEAR(DecSun1+27)=CalendarYear,MONTH(DecSun1+27)=12),DecSun1+27,""),IF(AND(YEAR(DecSun1+34)=CalendarYear,MONTH(DecSun1+34)=12),DecSun1+34,""))</f>
        <v/>
      </c>
      <c r="AI143" s="9" t="str">
        <f ca="1">IF(DAY(DecSun1)=1,IF(AND(YEAR(DecSun1+28)=CalendarYear,MONTH(DecSun1+28)=12),DecSun1+28,""),IF(AND(YEAR(DecSun1+35)=CalendarYear,MONTH(DecSun1+35)=12),DecSun1+35,""))</f>
        <v/>
      </c>
      <c r="AJ143" s="9" t="str">
        <f ca="1">IF(DAY(DecSun1)=1,IF(AND(YEAR(DecSun1+29)=CalendarYear,MONTH(DecSun1+29)=12),DecSun1+29,""),IF(AND(YEAR(DecSun1+36)=CalendarYear,MONTH(DecSun1+36)=12),DecSun1+36,""))</f>
        <v/>
      </c>
      <c r="AK143" s="11" t="str">
        <f ca="1">IF(DAY(DecSun1)=1,IF(AND(YEAR(DecSun1+30)=CalendarYear,MONTH(DecSun1+30)=12),DecSun1+30,""),IF(AND(YEAR(DecSun1+37)=CalendarYear,MONTH(DecSun1+37)=12),DecSun1+37,""))</f>
        <v/>
      </c>
    </row>
    <row r="144" spans="2:37" s="75" customFormat="1" ht="19.899999999999999" customHeight="1" x14ac:dyDescent="0.3">
      <c r="B144" s="212"/>
      <c r="C144" s="78"/>
      <c r="D144" s="10" t="s">
        <v>15</v>
      </c>
      <c r="E144" s="10" t="s">
        <v>9</v>
      </c>
      <c r="F144" s="10" t="s">
        <v>10</v>
      </c>
      <c r="G144" s="10" t="s">
        <v>11</v>
      </c>
      <c r="H144" s="10" t="s">
        <v>16</v>
      </c>
      <c r="I144" s="10" t="s">
        <v>13</v>
      </c>
      <c r="J144" s="10" t="s">
        <v>14</v>
      </c>
      <c r="K144" s="10" t="s">
        <v>15</v>
      </c>
      <c r="L144" s="10" t="s">
        <v>9</v>
      </c>
      <c r="M144" s="10" t="s">
        <v>11</v>
      </c>
      <c r="N144" s="10" t="s">
        <v>16</v>
      </c>
      <c r="O144" s="10" t="s">
        <v>13</v>
      </c>
      <c r="P144" s="10" t="s">
        <v>14</v>
      </c>
      <c r="Q144" s="10" t="s">
        <v>9</v>
      </c>
      <c r="R144" s="10" t="s">
        <v>10</v>
      </c>
      <c r="S144" s="10" t="s">
        <v>11</v>
      </c>
      <c r="T144" s="10" t="s">
        <v>16</v>
      </c>
      <c r="U144" s="10" t="s">
        <v>14</v>
      </c>
      <c r="V144" s="10" t="s">
        <v>15</v>
      </c>
      <c r="W144" s="10" t="s">
        <v>9</v>
      </c>
      <c r="X144" s="10" t="s">
        <v>10</v>
      </c>
      <c r="Y144" s="10" t="s">
        <v>11</v>
      </c>
      <c r="Z144" s="10" t="s">
        <v>16</v>
      </c>
      <c r="AA144" s="10" t="s">
        <v>13</v>
      </c>
      <c r="AB144" s="10" t="s">
        <v>14</v>
      </c>
      <c r="AC144" s="10" t="s">
        <v>15</v>
      </c>
      <c r="AD144" s="10" t="s">
        <v>9</v>
      </c>
      <c r="AE144" s="10" t="s">
        <v>10</v>
      </c>
      <c r="AF144" s="10" t="s">
        <v>11</v>
      </c>
      <c r="AG144" s="10" t="s">
        <v>16</v>
      </c>
      <c r="AH144" s="10" t="s">
        <v>13</v>
      </c>
      <c r="AI144" s="10" t="s">
        <v>14</v>
      </c>
      <c r="AJ144" s="10" t="s">
        <v>15</v>
      </c>
      <c r="AK144" s="12" t="s">
        <v>9</v>
      </c>
    </row>
    <row r="145" spans="2:37" ht="19.899999999999999" customHeight="1" x14ac:dyDescent="0.3">
      <c r="B145" s="71" t="s">
        <v>174</v>
      </c>
      <c r="C145" s="71"/>
      <c r="D145" s="6" t="str">
        <f t="shared" ref="D145:AK145" ca="1" si="27">IF(OR(NOT(ISNUMBER(D143)),D143&lt;Job1_StartDate),"",IF(MID(Job1_Pattern,MOD(D143-Job1_StartDate,LEN(Job1_Pattern))+1,1)=Job1_Shift1_Code,1,IF(MID(Job1_Pattern,MOD(D143-Job1_StartDate,LEN(Job1_Pattern))+1,1)=Job1_Shift2_Code,2,IF(MID(Job1_Pattern,MOD(D143-Job1_StartDate,LEN(Job1_Pattern))+1,1)=Job1_Shift3_Code,3,""))))</f>
        <v/>
      </c>
      <c r="E145" s="6" t="str">
        <f t="shared" ca="1" si="27"/>
        <v/>
      </c>
      <c r="F145" s="6" t="str">
        <f t="shared" ca="1" si="27"/>
        <v/>
      </c>
      <c r="G145" s="6">
        <f t="shared" ca="1" si="27"/>
        <v>1</v>
      </c>
      <c r="H145" s="6" t="str">
        <f t="shared" ca="1" si="27"/>
        <v/>
      </c>
      <c r="I145" s="6" t="str">
        <f t="shared" ca="1" si="27"/>
        <v/>
      </c>
      <c r="J145" s="6" t="str">
        <f t="shared" ca="1" si="27"/>
        <v/>
      </c>
      <c r="K145" s="6">
        <f t="shared" ca="1" si="27"/>
        <v>1</v>
      </c>
      <c r="L145" s="6" t="str">
        <f t="shared" ca="1" si="27"/>
        <v/>
      </c>
      <c r="M145" s="6" t="str">
        <f t="shared" ca="1" si="27"/>
        <v/>
      </c>
      <c r="N145" s="6">
        <f t="shared" ca="1" si="27"/>
        <v>1</v>
      </c>
      <c r="O145" s="6" t="str">
        <f t="shared" ca="1" si="27"/>
        <v/>
      </c>
      <c r="P145" s="6" t="str">
        <f t="shared" ca="1" si="27"/>
        <v/>
      </c>
      <c r="Q145" s="6">
        <f t="shared" ca="1" si="27"/>
        <v>1</v>
      </c>
      <c r="R145" s="6" t="str">
        <f t="shared" ca="1" si="27"/>
        <v/>
      </c>
      <c r="S145" s="6" t="str">
        <f t="shared" ca="1" si="27"/>
        <v/>
      </c>
      <c r="T145" s="6" t="str">
        <f t="shared" ca="1" si="27"/>
        <v/>
      </c>
      <c r="U145" s="6" t="str">
        <f t="shared" ca="1" si="27"/>
        <v/>
      </c>
      <c r="V145" s="6" t="str">
        <f t="shared" ca="1" si="27"/>
        <v/>
      </c>
      <c r="W145" s="6" t="str">
        <f t="shared" ca="1" si="27"/>
        <v/>
      </c>
      <c r="X145" s="6">
        <f t="shared" ca="1" si="27"/>
        <v>1</v>
      </c>
      <c r="Y145" s="6" t="str">
        <f t="shared" ca="1" si="27"/>
        <v/>
      </c>
      <c r="Z145" s="6" t="str">
        <f t="shared" ca="1" si="27"/>
        <v/>
      </c>
      <c r="AA145" s="6" t="str">
        <f t="shared" ca="1" si="27"/>
        <v/>
      </c>
      <c r="AB145" s="6">
        <f t="shared" ca="1" si="27"/>
        <v>1</v>
      </c>
      <c r="AC145" s="6" t="str">
        <f t="shared" ca="1" si="27"/>
        <v/>
      </c>
      <c r="AD145" s="6" t="str">
        <f t="shared" ca="1" si="27"/>
        <v/>
      </c>
      <c r="AE145" s="6" t="str">
        <f t="shared" ca="1" si="27"/>
        <v/>
      </c>
      <c r="AF145" s="6">
        <f t="shared" ca="1" si="27"/>
        <v>1</v>
      </c>
      <c r="AG145" s="6" t="str">
        <f t="shared" ca="1" si="27"/>
        <v/>
      </c>
      <c r="AH145" s="6" t="str">
        <f t="shared" ca="1" si="27"/>
        <v/>
      </c>
      <c r="AI145" s="6" t="str">
        <f t="shared" ca="1" si="27"/>
        <v/>
      </c>
      <c r="AJ145" s="6" t="str">
        <f t="shared" ca="1" si="27"/>
        <v/>
      </c>
      <c r="AK145" s="6" t="str">
        <f t="shared" ca="1" si="27"/>
        <v/>
      </c>
    </row>
    <row r="146" spans="2:37" ht="19.899999999999999" customHeight="1" x14ac:dyDescent="0.3">
      <c r="B146" s="72" t="s">
        <v>175</v>
      </c>
      <c r="C146" s="72"/>
      <c r="D146" s="7" t="str">
        <f t="shared" ref="D146:AK146" ca="1" si="28">IF(OR(NOT(ISNUMBER(D143)),D143&lt;Job2_StartDate),"",IF(MID(Job2_Pattern,MOD(D143-Job2_StartDate,LEN(Job2_Pattern))+1,1)=Job2_Shift1_Code,1,IF(MID(Job2_Pattern,MOD(D143-Job2_StartDate,LEN(Job2_Pattern))+1,1)=Job2_Shift2_Code,2,IF(MID(Job2_Pattern,MOD(D143-Job2_StartDate,LEN(Job2_Pattern))+1,1)=Job2_Shift3_Code,3,""))))</f>
        <v/>
      </c>
      <c r="E146" s="7" t="str">
        <f t="shared" ca="1" si="28"/>
        <v/>
      </c>
      <c r="F146" s="7">
        <f t="shared" ca="1" si="28"/>
        <v>2</v>
      </c>
      <c r="G146" s="7" t="str">
        <f t="shared" ca="1" si="28"/>
        <v/>
      </c>
      <c r="H146" s="7" t="str">
        <f t="shared" ca="1" si="28"/>
        <v/>
      </c>
      <c r="I146" s="7" t="str">
        <f t="shared" ca="1" si="28"/>
        <v/>
      </c>
      <c r="J146" s="7">
        <f t="shared" ca="1" si="28"/>
        <v>2</v>
      </c>
      <c r="K146" s="7" t="str">
        <f t="shared" ca="1" si="28"/>
        <v/>
      </c>
      <c r="L146" s="7" t="str">
        <f t="shared" ca="1" si="28"/>
        <v/>
      </c>
      <c r="M146" s="7">
        <f t="shared" ca="1" si="28"/>
        <v>2</v>
      </c>
      <c r="N146" s="7" t="str">
        <f t="shared" ca="1" si="28"/>
        <v/>
      </c>
      <c r="O146" s="7" t="str">
        <f t="shared" ca="1" si="28"/>
        <v/>
      </c>
      <c r="P146" s="7" t="str">
        <f t="shared" ca="1" si="28"/>
        <v/>
      </c>
      <c r="Q146" s="7" t="str">
        <f t="shared" ca="1" si="28"/>
        <v/>
      </c>
      <c r="R146" s="7" t="str">
        <f t="shared" ca="1" si="28"/>
        <v/>
      </c>
      <c r="S146" s="7" t="str">
        <f t="shared" ca="1" si="28"/>
        <v/>
      </c>
      <c r="T146" s="7">
        <f t="shared" ca="1" si="28"/>
        <v>2</v>
      </c>
      <c r="U146" s="7" t="str">
        <f t="shared" ca="1" si="28"/>
        <v/>
      </c>
      <c r="V146" s="7" t="str">
        <f t="shared" ca="1" si="28"/>
        <v/>
      </c>
      <c r="W146" s="7">
        <f t="shared" ca="1" si="28"/>
        <v>2</v>
      </c>
      <c r="X146" s="7" t="str">
        <f t="shared" ca="1" si="28"/>
        <v/>
      </c>
      <c r="Y146" s="7" t="str">
        <f t="shared" ca="1" si="28"/>
        <v/>
      </c>
      <c r="Z146" s="7" t="str">
        <f t="shared" ca="1" si="28"/>
        <v/>
      </c>
      <c r="AA146" s="7">
        <f t="shared" ca="1" si="28"/>
        <v>2</v>
      </c>
      <c r="AB146" s="7" t="str">
        <f t="shared" ca="1" si="28"/>
        <v/>
      </c>
      <c r="AC146" s="7" t="str">
        <f t="shared" ca="1" si="28"/>
        <v/>
      </c>
      <c r="AD146" s="7" t="str">
        <f t="shared" ca="1" si="28"/>
        <v/>
      </c>
      <c r="AE146" s="7">
        <f t="shared" ca="1" si="28"/>
        <v>2</v>
      </c>
      <c r="AF146" s="7" t="str">
        <f t="shared" ca="1" si="28"/>
        <v/>
      </c>
      <c r="AG146" s="7" t="str">
        <f t="shared" ca="1" si="28"/>
        <v/>
      </c>
      <c r="AH146" s="7" t="str">
        <f t="shared" ca="1" si="28"/>
        <v/>
      </c>
      <c r="AI146" s="7" t="str">
        <f t="shared" ca="1" si="28"/>
        <v/>
      </c>
      <c r="AJ146" s="7" t="str">
        <f t="shared" ca="1" si="28"/>
        <v/>
      </c>
      <c r="AK146" s="7" t="str">
        <f t="shared" ca="1" si="28"/>
        <v/>
      </c>
    </row>
    <row r="147" spans="2:37" ht="19.899999999999999" customHeight="1" x14ac:dyDescent="0.3">
      <c r="B147" s="73" t="s">
        <v>177</v>
      </c>
      <c r="C147" s="73"/>
      <c r="D147" s="7" t="str">
        <f t="shared" ref="D147:AK147" ca="1" si="29">IF(OR(NOT(ISNUMBER(D143)),D143&lt;Job3_StartDate),"",IF(MID(Job3_Pattern,MOD(D143-Job3_StartDate,LEN(Job3_Pattern))+1,1)=Job3_Shift1_Code,1,IF(MID(Job3_Pattern,MOD(D143-Job3_StartDate,LEN(Job3_Pattern))+1,1)=Job3_Shift2_Code,2,IF(MID(Job3_Pattern,MOD(D143-Job3_StartDate,LEN(Job3_Pattern))+1,1)=Job3_Shift3_Code,3,""))))</f>
        <v/>
      </c>
      <c r="E147" s="7" t="str">
        <f t="shared" ca="1" si="29"/>
        <v/>
      </c>
      <c r="F147" s="7" t="str">
        <f t="shared" ca="1" si="29"/>
        <v/>
      </c>
      <c r="G147" s="7">
        <f t="shared" ca="1" si="29"/>
        <v>3</v>
      </c>
      <c r="H147" s="7" t="str">
        <f t="shared" ca="1" si="29"/>
        <v/>
      </c>
      <c r="I147" s="7" t="str">
        <f t="shared" ca="1" si="29"/>
        <v/>
      </c>
      <c r="J147" s="7" t="str">
        <f t="shared" ca="1" si="29"/>
        <v/>
      </c>
      <c r="K147" s="7">
        <f t="shared" ca="1" si="29"/>
        <v>3</v>
      </c>
      <c r="L147" s="7" t="str">
        <f t="shared" ca="1" si="29"/>
        <v/>
      </c>
      <c r="M147" s="7" t="str">
        <f t="shared" ca="1" si="29"/>
        <v/>
      </c>
      <c r="N147" s="7">
        <f t="shared" ca="1" si="29"/>
        <v>3</v>
      </c>
      <c r="O147" s="7" t="str">
        <f t="shared" ca="1" si="29"/>
        <v/>
      </c>
      <c r="P147" s="7" t="str">
        <f t="shared" ca="1" si="29"/>
        <v/>
      </c>
      <c r="Q147" s="7">
        <f t="shared" ca="1" si="29"/>
        <v>3</v>
      </c>
      <c r="R147" s="7" t="str">
        <f t="shared" ca="1" si="29"/>
        <v/>
      </c>
      <c r="S147" s="7" t="str">
        <f t="shared" ca="1" si="29"/>
        <v/>
      </c>
      <c r="T147" s="7" t="str">
        <f t="shared" ca="1" si="29"/>
        <v/>
      </c>
      <c r="U147" s="7" t="str">
        <f t="shared" ca="1" si="29"/>
        <v/>
      </c>
      <c r="V147" s="7" t="str">
        <f t="shared" ca="1" si="29"/>
        <v/>
      </c>
      <c r="W147" s="7" t="str">
        <f t="shared" ca="1" si="29"/>
        <v/>
      </c>
      <c r="X147" s="7">
        <f t="shared" ca="1" si="29"/>
        <v>3</v>
      </c>
      <c r="Y147" s="7" t="str">
        <f t="shared" ca="1" si="29"/>
        <v/>
      </c>
      <c r="Z147" s="7" t="str">
        <f t="shared" ca="1" si="29"/>
        <v/>
      </c>
      <c r="AA147" s="7" t="str">
        <f t="shared" ca="1" si="29"/>
        <v/>
      </c>
      <c r="AB147" s="7">
        <f t="shared" ca="1" si="29"/>
        <v>3</v>
      </c>
      <c r="AC147" s="7" t="str">
        <f t="shared" ca="1" si="29"/>
        <v/>
      </c>
      <c r="AD147" s="7" t="str">
        <f t="shared" ca="1" si="29"/>
        <v/>
      </c>
      <c r="AE147" s="7" t="str">
        <f t="shared" ca="1" si="29"/>
        <v/>
      </c>
      <c r="AF147" s="7">
        <f t="shared" ca="1" si="29"/>
        <v>3</v>
      </c>
      <c r="AG147" s="7" t="str">
        <f t="shared" ca="1" si="29"/>
        <v/>
      </c>
      <c r="AH147" s="7" t="str">
        <f t="shared" ca="1" si="29"/>
        <v/>
      </c>
      <c r="AI147" s="7" t="str">
        <f t="shared" ca="1" si="29"/>
        <v/>
      </c>
      <c r="AJ147" s="7" t="str">
        <f t="shared" ca="1" si="29"/>
        <v/>
      </c>
      <c r="AK147" s="7" t="str">
        <f t="shared" ca="1" si="29"/>
        <v/>
      </c>
    </row>
  </sheetData>
  <mergeCells count="655">
    <mergeCell ref="U95:V95"/>
    <mergeCell ref="W95:X95"/>
    <mergeCell ref="U96:V96"/>
    <mergeCell ref="W96:X96"/>
    <mergeCell ref="U92:V92"/>
    <mergeCell ref="W92:X92"/>
    <mergeCell ref="U93:V93"/>
    <mergeCell ref="W93:X93"/>
    <mergeCell ref="U94:V94"/>
    <mergeCell ref="W94:X94"/>
    <mergeCell ref="U89:V89"/>
    <mergeCell ref="W89:X89"/>
    <mergeCell ref="U90:V90"/>
    <mergeCell ref="W90:X90"/>
    <mergeCell ref="U91:V91"/>
    <mergeCell ref="W91:X91"/>
    <mergeCell ref="U86:V86"/>
    <mergeCell ref="W86:X86"/>
    <mergeCell ref="U87:V87"/>
    <mergeCell ref="W87:X87"/>
    <mergeCell ref="U88:V88"/>
    <mergeCell ref="W88:X88"/>
    <mergeCell ref="U83:V83"/>
    <mergeCell ref="W83:X83"/>
    <mergeCell ref="U84:V84"/>
    <mergeCell ref="W84:X84"/>
    <mergeCell ref="U85:V85"/>
    <mergeCell ref="W85:X85"/>
    <mergeCell ref="U80:V80"/>
    <mergeCell ref="W80:X80"/>
    <mergeCell ref="U81:V81"/>
    <mergeCell ref="W81:X81"/>
    <mergeCell ref="U82:V82"/>
    <mergeCell ref="W82:X82"/>
    <mergeCell ref="U77:V77"/>
    <mergeCell ref="W77:X77"/>
    <mergeCell ref="U78:V78"/>
    <mergeCell ref="W78:X78"/>
    <mergeCell ref="U79:V79"/>
    <mergeCell ref="W79:X79"/>
    <mergeCell ref="U73:X73"/>
    <mergeCell ref="U74:X74"/>
    <mergeCell ref="U75:V75"/>
    <mergeCell ref="W75:X75"/>
    <mergeCell ref="U76:V76"/>
    <mergeCell ref="W76:X76"/>
    <mergeCell ref="D73:H73"/>
    <mergeCell ref="I73:L73"/>
    <mergeCell ref="M73:P73"/>
    <mergeCell ref="Q73:T73"/>
    <mergeCell ref="C73:C74"/>
    <mergeCell ref="D74:G74"/>
    <mergeCell ref="I74:L74"/>
    <mergeCell ref="M74:P74"/>
    <mergeCell ref="Q74:T74"/>
    <mergeCell ref="Q95:R95"/>
    <mergeCell ref="S95:T95"/>
    <mergeCell ref="D96:E96"/>
    <mergeCell ref="F96:G96"/>
    <mergeCell ref="I96:J96"/>
    <mergeCell ref="K96:L96"/>
    <mergeCell ref="M96:N96"/>
    <mergeCell ref="O96:P96"/>
    <mergeCell ref="Q96:R96"/>
    <mergeCell ref="S96:T96"/>
    <mergeCell ref="D95:E95"/>
    <mergeCell ref="F95:G95"/>
    <mergeCell ref="I95:J95"/>
    <mergeCell ref="K95:L95"/>
    <mergeCell ref="M95:N95"/>
    <mergeCell ref="O95:P95"/>
    <mergeCell ref="Q93:R93"/>
    <mergeCell ref="S93:T93"/>
    <mergeCell ref="D94:E94"/>
    <mergeCell ref="F94:G94"/>
    <mergeCell ref="I94:J94"/>
    <mergeCell ref="K94:L94"/>
    <mergeCell ref="M94:N94"/>
    <mergeCell ref="O94:P94"/>
    <mergeCell ref="Q94:R94"/>
    <mergeCell ref="S94:T94"/>
    <mergeCell ref="D93:E93"/>
    <mergeCell ref="F93:G93"/>
    <mergeCell ref="I93:J93"/>
    <mergeCell ref="K93:L93"/>
    <mergeCell ref="M93:N93"/>
    <mergeCell ref="O93:P93"/>
    <mergeCell ref="Q91:R91"/>
    <mergeCell ref="S91:T91"/>
    <mergeCell ref="D92:E92"/>
    <mergeCell ref="F92:G92"/>
    <mergeCell ref="I92:J92"/>
    <mergeCell ref="K92:L92"/>
    <mergeCell ref="M92:N92"/>
    <mergeCell ref="O92:P92"/>
    <mergeCell ref="Q92:R92"/>
    <mergeCell ref="S92:T92"/>
    <mergeCell ref="D91:E91"/>
    <mergeCell ref="F91:G91"/>
    <mergeCell ref="I91:J91"/>
    <mergeCell ref="K91:L91"/>
    <mergeCell ref="M91:N91"/>
    <mergeCell ref="O91:P91"/>
    <mergeCell ref="Q89:R89"/>
    <mergeCell ref="S89:T89"/>
    <mergeCell ref="D90:E90"/>
    <mergeCell ref="F90:G90"/>
    <mergeCell ref="I90:J90"/>
    <mergeCell ref="K90:L90"/>
    <mergeCell ref="M90:N90"/>
    <mergeCell ref="O90:P90"/>
    <mergeCell ref="Q90:R90"/>
    <mergeCell ref="S90:T90"/>
    <mergeCell ref="D89:E89"/>
    <mergeCell ref="F89:G89"/>
    <mergeCell ref="I89:J89"/>
    <mergeCell ref="K89:L89"/>
    <mergeCell ref="M89:N89"/>
    <mergeCell ref="O89:P89"/>
    <mergeCell ref="Q87:R87"/>
    <mergeCell ref="S87:T87"/>
    <mergeCell ref="D88:E88"/>
    <mergeCell ref="F88:G88"/>
    <mergeCell ref="I88:J88"/>
    <mergeCell ref="K88:L88"/>
    <mergeCell ref="M88:N88"/>
    <mergeCell ref="O88:P88"/>
    <mergeCell ref="Q88:R88"/>
    <mergeCell ref="S88:T88"/>
    <mergeCell ref="D87:E87"/>
    <mergeCell ref="F87:G87"/>
    <mergeCell ref="I87:J87"/>
    <mergeCell ref="K87:L87"/>
    <mergeCell ref="M87:N87"/>
    <mergeCell ref="O87:P87"/>
    <mergeCell ref="Q85:R85"/>
    <mergeCell ref="S85:T85"/>
    <mergeCell ref="D86:E86"/>
    <mergeCell ref="F86:G86"/>
    <mergeCell ref="I86:J86"/>
    <mergeCell ref="K86:L86"/>
    <mergeCell ref="M86:N86"/>
    <mergeCell ref="O86:P86"/>
    <mergeCell ref="Q86:R86"/>
    <mergeCell ref="S86:T86"/>
    <mergeCell ref="D85:E85"/>
    <mergeCell ref="F85:G85"/>
    <mergeCell ref="I85:J85"/>
    <mergeCell ref="K85:L85"/>
    <mergeCell ref="M85:N85"/>
    <mergeCell ref="O85:P85"/>
    <mergeCell ref="Q83:R83"/>
    <mergeCell ref="S83:T83"/>
    <mergeCell ref="D84:E84"/>
    <mergeCell ref="F84:G84"/>
    <mergeCell ref="I84:J84"/>
    <mergeCell ref="K84:L84"/>
    <mergeCell ref="M84:N84"/>
    <mergeCell ref="O84:P84"/>
    <mergeCell ref="Q84:R84"/>
    <mergeCell ref="S84:T84"/>
    <mergeCell ref="D83:E83"/>
    <mergeCell ref="F83:G83"/>
    <mergeCell ref="I83:J83"/>
    <mergeCell ref="K83:L83"/>
    <mergeCell ref="M83:N83"/>
    <mergeCell ref="O83:P83"/>
    <mergeCell ref="Q81:R81"/>
    <mergeCell ref="S81:T81"/>
    <mergeCell ref="D82:E82"/>
    <mergeCell ref="F82:G82"/>
    <mergeCell ref="I82:J82"/>
    <mergeCell ref="K82:L82"/>
    <mergeCell ref="M82:N82"/>
    <mergeCell ref="O82:P82"/>
    <mergeCell ref="Q82:R82"/>
    <mergeCell ref="S82:T82"/>
    <mergeCell ref="D81:E81"/>
    <mergeCell ref="F81:G81"/>
    <mergeCell ref="I81:J81"/>
    <mergeCell ref="K81:L81"/>
    <mergeCell ref="M81:N81"/>
    <mergeCell ref="O81:P81"/>
    <mergeCell ref="Q79:R79"/>
    <mergeCell ref="S79:T79"/>
    <mergeCell ref="D80:E80"/>
    <mergeCell ref="F80:G80"/>
    <mergeCell ref="I80:J80"/>
    <mergeCell ref="K80:L80"/>
    <mergeCell ref="M80:N80"/>
    <mergeCell ref="O80:P80"/>
    <mergeCell ref="Q80:R80"/>
    <mergeCell ref="S80:T80"/>
    <mergeCell ref="D79:E79"/>
    <mergeCell ref="F79:G79"/>
    <mergeCell ref="I79:J79"/>
    <mergeCell ref="K79:L79"/>
    <mergeCell ref="M79:N79"/>
    <mergeCell ref="O79:P79"/>
    <mergeCell ref="Q77:R77"/>
    <mergeCell ref="S77:T77"/>
    <mergeCell ref="D78:E78"/>
    <mergeCell ref="F78:G78"/>
    <mergeCell ref="I78:J78"/>
    <mergeCell ref="K78:L78"/>
    <mergeCell ref="M78:N78"/>
    <mergeCell ref="O78:P78"/>
    <mergeCell ref="Q78:R78"/>
    <mergeCell ref="S78:T78"/>
    <mergeCell ref="D77:E77"/>
    <mergeCell ref="F77:G77"/>
    <mergeCell ref="I77:J77"/>
    <mergeCell ref="K77:L77"/>
    <mergeCell ref="M77:N77"/>
    <mergeCell ref="O77:P77"/>
    <mergeCell ref="Q75:R75"/>
    <mergeCell ref="S75:T75"/>
    <mergeCell ref="D76:E76"/>
    <mergeCell ref="F76:G76"/>
    <mergeCell ref="I76:J76"/>
    <mergeCell ref="K76:L76"/>
    <mergeCell ref="M76:N76"/>
    <mergeCell ref="O76:P76"/>
    <mergeCell ref="Q76:R76"/>
    <mergeCell ref="S76:T76"/>
    <mergeCell ref="D75:E75"/>
    <mergeCell ref="F75:G75"/>
    <mergeCell ref="I75:J75"/>
    <mergeCell ref="K75:L75"/>
    <mergeCell ref="M75:N75"/>
    <mergeCell ref="O75:P75"/>
    <mergeCell ref="C45:C46"/>
    <mergeCell ref="D45:H45"/>
    <mergeCell ref="I45:L45"/>
    <mergeCell ref="M45:P45"/>
    <mergeCell ref="Q45:T45"/>
    <mergeCell ref="D46:G46"/>
    <mergeCell ref="I46:L46"/>
    <mergeCell ref="M46:P46"/>
    <mergeCell ref="Q46:T46"/>
    <mergeCell ref="Q67:R67"/>
    <mergeCell ref="S67:T67"/>
    <mergeCell ref="D68:E68"/>
    <mergeCell ref="F68:G68"/>
    <mergeCell ref="I68:J68"/>
    <mergeCell ref="K68:L68"/>
    <mergeCell ref="M68:N68"/>
    <mergeCell ref="O68:P68"/>
    <mergeCell ref="Q68:R68"/>
    <mergeCell ref="S68:T68"/>
    <mergeCell ref="D67:E67"/>
    <mergeCell ref="F67:G67"/>
    <mergeCell ref="I67:J67"/>
    <mergeCell ref="K67:L67"/>
    <mergeCell ref="M67:N67"/>
    <mergeCell ref="O67:P67"/>
    <mergeCell ref="Q65:R65"/>
    <mergeCell ref="S65:T65"/>
    <mergeCell ref="D66:E66"/>
    <mergeCell ref="F66:G66"/>
    <mergeCell ref="I66:J66"/>
    <mergeCell ref="K66:L66"/>
    <mergeCell ref="M66:N66"/>
    <mergeCell ref="O66:P66"/>
    <mergeCell ref="Q66:R66"/>
    <mergeCell ref="S66:T66"/>
    <mergeCell ref="D65:E65"/>
    <mergeCell ref="F65:G65"/>
    <mergeCell ref="I65:J65"/>
    <mergeCell ref="K65:L65"/>
    <mergeCell ref="M65:N65"/>
    <mergeCell ref="O65:P65"/>
    <mergeCell ref="Q63:R63"/>
    <mergeCell ref="S63:T63"/>
    <mergeCell ref="D64:E64"/>
    <mergeCell ref="F64:G64"/>
    <mergeCell ref="I64:J64"/>
    <mergeCell ref="K64:L64"/>
    <mergeCell ref="M64:N64"/>
    <mergeCell ref="O64:P64"/>
    <mergeCell ref="Q64:R64"/>
    <mergeCell ref="S64:T64"/>
    <mergeCell ref="D63:E63"/>
    <mergeCell ref="F63:G63"/>
    <mergeCell ref="I63:J63"/>
    <mergeCell ref="K63:L63"/>
    <mergeCell ref="M63:N63"/>
    <mergeCell ref="O63:P63"/>
    <mergeCell ref="Q61:R61"/>
    <mergeCell ref="S61:T61"/>
    <mergeCell ref="D62:E62"/>
    <mergeCell ref="F62:G62"/>
    <mergeCell ref="I62:J62"/>
    <mergeCell ref="K62:L62"/>
    <mergeCell ref="M62:N62"/>
    <mergeCell ref="O62:P62"/>
    <mergeCell ref="Q62:R62"/>
    <mergeCell ref="S62:T62"/>
    <mergeCell ref="D61:E61"/>
    <mergeCell ref="F61:G61"/>
    <mergeCell ref="I61:J61"/>
    <mergeCell ref="K61:L61"/>
    <mergeCell ref="M61:N61"/>
    <mergeCell ref="O61:P61"/>
    <mergeCell ref="Q59:R59"/>
    <mergeCell ref="S59:T59"/>
    <mergeCell ref="D60:E60"/>
    <mergeCell ref="F60:G60"/>
    <mergeCell ref="I60:J60"/>
    <mergeCell ref="K60:L60"/>
    <mergeCell ref="M60:N60"/>
    <mergeCell ref="O60:P60"/>
    <mergeCell ref="Q60:R60"/>
    <mergeCell ref="S60:T60"/>
    <mergeCell ref="D59:E59"/>
    <mergeCell ref="F59:G59"/>
    <mergeCell ref="I59:J59"/>
    <mergeCell ref="K59:L59"/>
    <mergeCell ref="M59:N59"/>
    <mergeCell ref="O59:P59"/>
    <mergeCell ref="Q57:R57"/>
    <mergeCell ref="S57:T57"/>
    <mergeCell ref="D58:E58"/>
    <mergeCell ref="F58:G58"/>
    <mergeCell ref="I58:J58"/>
    <mergeCell ref="K58:L58"/>
    <mergeCell ref="M58:N58"/>
    <mergeCell ref="O58:P58"/>
    <mergeCell ref="Q58:R58"/>
    <mergeCell ref="S58:T58"/>
    <mergeCell ref="D57:E57"/>
    <mergeCell ref="F57:G57"/>
    <mergeCell ref="I57:J57"/>
    <mergeCell ref="K57:L57"/>
    <mergeCell ref="M57:N57"/>
    <mergeCell ref="O57:P57"/>
    <mergeCell ref="Q55:R55"/>
    <mergeCell ref="S55:T55"/>
    <mergeCell ref="D56:E56"/>
    <mergeCell ref="F56:G56"/>
    <mergeCell ref="I56:J56"/>
    <mergeCell ref="K56:L56"/>
    <mergeCell ref="M56:N56"/>
    <mergeCell ref="O56:P56"/>
    <mergeCell ref="Q56:R56"/>
    <mergeCell ref="S56:T56"/>
    <mergeCell ref="D55:E55"/>
    <mergeCell ref="F55:G55"/>
    <mergeCell ref="I55:J55"/>
    <mergeCell ref="K55:L55"/>
    <mergeCell ref="M55:N55"/>
    <mergeCell ref="O55:P55"/>
    <mergeCell ref="Q53:R53"/>
    <mergeCell ref="S53:T53"/>
    <mergeCell ref="D54:E54"/>
    <mergeCell ref="F54:G54"/>
    <mergeCell ref="I54:J54"/>
    <mergeCell ref="K54:L54"/>
    <mergeCell ref="M54:N54"/>
    <mergeCell ref="O54:P54"/>
    <mergeCell ref="Q54:R54"/>
    <mergeCell ref="S54:T54"/>
    <mergeCell ref="D53:E53"/>
    <mergeCell ref="F53:G53"/>
    <mergeCell ref="I53:J53"/>
    <mergeCell ref="K53:L53"/>
    <mergeCell ref="M53:N53"/>
    <mergeCell ref="O53:P53"/>
    <mergeCell ref="Q51:R51"/>
    <mergeCell ref="S51:T51"/>
    <mergeCell ref="D52:E52"/>
    <mergeCell ref="F52:G52"/>
    <mergeCell ref="I52:J52"/>
    <mergeCell ref="K52:L52"/>
    <mergeCell ref="M52:N52"/>
    <mergeCell ref="O52:P52"/>
    <mergeCell ref="Q52:R52"/>
    <mergeCell ref="S52:T52"/>
    <mergeCell ref="D51:E51"/>
    <mergeCell ref="F51:G51"/>
    <mergeCell ref="I51:J51"/>
    <mergeCell ref="K51:L51"/>
    <mergeCell ref="M51:N51"/>
    <mergeCell ref="O51:P51"/>
    <mergeCell ref="Q49:R49"/>
    <mergeCell ref="S49:T49"/>
    <mergeCell ref="D50:E50"/>
    <mergeCell ref="F50:G50"/>
    <mergeCell ref="I50:J50"/>
    <mergeCell ref="K50:L50"/>
    <mergeCell ref="M50:N50"/>
    <mergeCell ref="O50:P50"/>
    <mergeCell ref="Q50:R50"/>
    <mergeCell ref="S50:T50"/>
    <mergeCell ref="D49:E49"/>
    <mergeCell ref="F49:G49"/>
    <mergeCell ref="I49:J49"/>
    <mergeCell ref="K49:L49"/>
    <mergeCell ref="M49:N49"/>
    <mergeCell ref="O49:P49"/>
    <mergeCell ref="I48:J48"/>
    <mergeCell ref="K48:L48"/>
    <mergeCell ref="M48:N48"/>
    <mergeCell ref="O48:P48"/>
    <mergeCell ref="Q48:R48"/>
    <mergeCell ref="S48:T48"/>
    <mergeCell ref="Q41:R41"/>
    <mergeCell ref="S41:T41"/>
    <mergeCell ref="D47:E47"/>
    <mergeCell ref="F47:G47"/>
    <mergeCell ref="I47:J47"/>
    <mergeCell ref="K47:L47"/>
    <mergeCell ref="M47:N47"/>
    <mergeCell ref="O47:P47"/>
    <mergeCell ref="Q47:R47"/>
    <mergeCell ref="S47:T47"/>
    <mergeCell ref="F48:G48"/>
    <mergeCell ref="D48:E48"/>
    <mergeCell ref="Q38:R38"/>
    <mergeCell ref="S38:T38"/>
    <mergeCell ref="Q39:R39"/>
    <mergeCell ref="S39:T39"/>
    <mergeCell ref="Q40:R40"/>
    <mergeCell ref="S40:T40"/>
    <mergeCell ref="Q35:R35"/>
    <mergeCell ref="S35:T35"/>
    <mergeCell ref="Q36:R36"/>
    <mergeCell ref="S36:T36"/>
    <mergeCell ref="Q37:R37"/>
    <mergeCell ref="S37:T37"/>
    <mergeCell ref="Q24:R24"/>
    <mergeCell ref="S24:T24"/>
    <mergeCell ref="Q25:R25"/>
    <mergeCell ref="S25:T25"/>
    <mergeCell ref="Q32:R32"/>
    <mergeCell ref="S32:T32"/>
    <mergeCell ref="Q33:R33"/>
    <mergeCell ref="S33:T33"/>
    <mergeCell ref="Q34:R34"/>
    <mergeCell ref="S34:T34"/>
    <mergeCell ref="Q29:R29"/>
    <mergeCell ref="S29:T29"/>
    <mergeCell ref="Q30:R30"/>
    <mergeCell ref="S30:T30"/>
    <mergeCell ref="Q31:R31"/>
    <mergeCell ref="S31:T31"/>
    <mergeCell ref="Q22:R22"/>
    <mergeCell ref="S22:T22"/>
    <mergeCell ref="M37:N37"/>
    <mergeCell ref="O37:P37"/>
    <mergeCell ref="M38:N38"/>
    <mergeCell ref="O38:P38"/>
    <mergeCell ref="M39:N39"/>
    <mergeCell ref="O39:P39"/>
    <mergeCell ref="M34:N34"/>
    <mergeCell ref="O34:P34"/>
    <mergeCell ref="M35:N35"/>
    <mergeCell ref="O35:P35"/>
    <mergeCell ref="M36:N36"/>
    <mergeCell ref="O36:P36"/>
    <mergeCell ref="M31:N31"/>
    <mergeCell ref="O31:P31"/>
    <mergeCell ref="Q26:R26"/>
    <mergeCell ref="S26:T26"/>
    <mergeCell ref="Q27:R27"/>
    <mergeCell ref="S27:T27"/>
    <mergeCell ref="Q28:R28"/>
    <mergeCell ref="S28:T28"/>
    <mergeCell ref="Q23:R23"/>
    <mergeCell ref="S23:T23"/>
    <mergeCell ref="O28:P28"/>
    <mergeCell ref="M29:N29"/>
    <mergeCell ref="O29:P29"/>
    <mergeCell ref="M30:N30"/>
    <mergeCell ref="O30:P30"/>
    <mergeCell ref="M27:N27"/>
    <mergeCell ref="M40:N40"/>
    <mergeCell ref="O40:P40"/>
    <mergeCell ref="M41:N41"/>
    <mergeCell ref="O41:P41"/>
    <mergeCell ref="O25:P25"/>
    <mergeCell ref="I40:J40"/>
    <mergeCell ref="K40:L40"/>
    <mergeCell ref="I41:J41"/>
    <mergeCell ref="K41:L41"/>
    <mergeCell ref="I39:J39"/>
    <mergeCell ref="K39:L39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M26:N26"/>
    <mergeCell ref="O26:P26"/>
    <mergeCell ref="M32:N32"/>
    <mergeCell ref="O32:P32"/>
    <mergeCell ref="M33:N33"/>
    <mergeCell ref="O33:P33"/>
    <mergeCell ref="O27:P27"/>
    <mergeCell ref="I31:J31"/>
    <mergeCell ref="K31:L31"/>
    <mergeCell ref="I32:J32"/>
    <mergeCell ref="K32:L32"/>
    <mergeCell ref="I33:J33"/>
    <mergeCell ref="K33:L33"/>
    <mergeCell ref="I28:J28"/>
    <mergeCell ref="K28:L28"/>
    <mergeCell ref="M23:N23"/>
    <mergeCell ref="M24:N24"/>
    <mergeCell ref="M25:N25"/>
    <mergeCell ref="M28:N28"/>
    <mergeCell ref="I37:J37"/>
    <mergeCell ref="K37:L37"/>
    <mergeCell ref="I38:J38"/>
    <mergeCell ref="K38:L38"/>
    <mergeCell ref="I34:J34"/>
    <mergeCell ref="K34:L34"/>
    <mergeCell ref="I35:J35"/>
    <mergeCell ref="K35:L35"/>
    <mergeCell ref="I36:J36"/>
    <mergeCell ref="K36:L36"/>
    <mergeCell ref="I22:J22"/>
    <mergeCell ref="K22:L22"/>
    <mergeCell ref="I23:J23"/>
    <mergeCell ref="K23:L23"/>
    <mergeCell ref="I24:J24"/>
    <mergeCell ref="K24:L24"/>
    <mergeCell ref="B17:AK17"/>
    <mergeCell ref="I19:L19"/>
    <mergeCell ref="M19:P19"/>
    <mergeCell ref="Q19:T19"/>
    <mergeCell ref="I20:J20"/>
    <mergeCell ref="K20:L20"/>
    <mergeCell ref="M20:N20"/>
    <mergeCell ref="O20:P20"/>
    <mergeCell ref="M21:N21"/>
    <mergeCell ref="O21:P21"/>
    <mergeCell ref="M22:N22"/>
    <mergeCell ref="O22:P22"/>
    <mergeCell ref="O23:P23"/>
    <mergeCell ref="O24:P24"/>
    <mergeCell ref="Q20:R20"/>
    <mergeCell ref="S20:T20"/>
    <mergeCell ref="Q21:R21"/>
    <mergeCell ref="S21:T21"/>
    <mergeCell ref="D40:E40"/>
    <mergeCell ref="F40:G40"/>
    <mergeCell ref="D41:E41"/>
    <mergeCell ref="F41:G41"/>
    <mergeCell ref="D42:E42"/>
    <mergeCell ref="F42:G42"/>
    <mergeCell ref="D37:E37"/>
    <mergeCell ref="F37:G37"/>
    <mergeCell ref="D38:E38"/>
    <mergeCell ref="F38:G38"/>
    <mergeCell ref="D39:E39"/>
    <mergeCell ref="F39:G39"/>
    <mergeCell ref="D34:E34"/>
    <mergeCell ref="F34:G34"/>
    <mergeCell ref="D35:E35"/>
    <mergeCell ref="F35:G35"/>
    <mergeCell ref="D36:E36"/>
    <mergeCell ref="F36:G36"/>
    <mergeCell ref="D31:E31"/>
    <mergeCell ref="F31:G31"/>
    <mergeCell ref="D32:E32"/>
    <mergeCell ref="F32:G32"/>
    <mergeCell ref="D33:E33"/>
    <mergeCell ref="F33:G33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8:E28"/>
    <mergeCell ref="F28:G28"/>
    <mergeCell ref="D29:E29"/>
    <mergeCell ref="F29:G29"/>
    <mergeCell ref="F21:G21"/>
    <mergeCell ref="M15:P15"/>
    <mergeCell ref="B137:B138"/>
    <mergeCell ref="Q15:T15"/>
    <mergeCell ref="I6:L6"/>
    <mergeCell ref="M6:P6"/>
    <mergeCell ref="Q6:T6"/>
    <mergeCell ref="D19:H19"/>
    <mergeCell ref="D20:E20"/>
    <mergeCell ref="F20:G20"/>
    <mergeCell ref="Q11:T11"/>
    <mergeCell ref="D12:H12"/>
    <mergeCell ref="I12:L12"/>
    <mergeCell ref="M12:P12"/>
    <mergeCell ref="Q12:T12"/>
    <mergeCell ref="D13:H13"/>
    <mergeCell ref="I13:L13"/>
    <mergeCell ref="M13:P13"/>
    <mergeCell ref="Q13:T13"/>
    <mergeCell ref="D22:E22"/>
    <mergeCell ref="B143:B144"/>
    <mergeCell ref="I8:L8"/>
    <mergeCell ref="M8:P8"/>
    <mergeCell ref="Q8:T8"/>
    <mergeCell ref="I9:L9"/>
    <mergeCell ref="M9:P9"/>
    <mergeCell ref="Q9:T9"/>
    <mergeCell ref="I10:L10"/>
    <mergeCell ref="M10:P10"/>
    <mergeCell ref="B101:B102"/>
    <mergeCell ref="B107:B108"/>
    <mergeCell ref="B113:B114"/>
    <mergeCell ref="B119:B120"/>
    <mergeCell ref="B125:B126"/>
    <mergeCell ref="B131:B132"/>
    <mergeCell ref="I43:L43"/>
    <mergeCell ref="M43:P43"/>
    <mergeCell ref="Q43:T43"/>
    <mergeCell ref="B45:B46"/>
    <mergeCell ref="B73:B74"/>
    <mergeCell ref="D43:E43"/>
    <mergeCell ref="F43:G43"/>
    <mergeCell ref="D27:E27"/>
    <mergeCell ref="F27:G27"/>
    <mergeCell ref="Z16:AD16"/>
    <mergeCell ref="AF2:AK2"/>
    <mergeCell ref="B6:B7"/>
    <mergeCell ref="D6:H6"/>
    <mergeCell ref="D8:H8"/>
    <mergeCell ref="D9:H9"/>
    <mergeCell ref="D10:H10"/>
    <mergeCell ref="Q10:T10"/>
    <mergeCell ref="D30:E30"/>
    <mergeCell ref="F30:G30"/>
    <mergeCell ref="I21:J21"/>
    <mergeCell ref="K21:L21"/>
    <mergeCell ref="Q18:T18"/>
    <mergeCell ref="D21:E21"/>
    <mergeCell ref="D11:H11"/>
    <mergeCell ref="B18:B19"/>
    <mergeCell ref="C18:C19"/>
    <mergeCell ref="D18:H18"/>
    <mergeCell ref="I18:L18"/>
    <mergeCell ref="M18:P18"/>
    <mergeCell ref="I11:L11"/>
    <mergeCell ref="M11:P11"/>
    <mergeCell ref="D15:H15"/>
    <mergeCell ref="I15:L15"/>
  </mergeCells>
  <dataValidations count="3">
    <dataValidation allowBlank="1" showInputMessage="1" showErrorMessage="1" prompt="Type the year in this cell." sqref="AF2:AK2" xr:uid="{9BA0AEBF-B040-4CC3-B0A9-568248FE259B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AD106838-3E8B-45FD-97FB-1617F10E9717}"/>
    <dataValidation allowBlank="1" showInputMessage="1" showErrorMessage="1" promptTitle="Shift Work Calendar" sqref="A2" xr:uid="{8F3E44DB-F643-4254-9F34-32777BC1587A}"/>
  </dataValidations>
  <printOptions horizontalCentered="1" verticalCentered="1"/>
  <pageMargins left="0.3" right="0.3" top="0.3" bottom="0.3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63A00C0-5D02-4988-8896-B437663BDACE}">
          <x14:formula1>
            <xm:f>Sheet1!$B$48:$B$53</xm:f>
          </x14:formula1>
          <xm:sqref>D12:T16</xm:sqref>
        </x14:dataValidation>
        <x14:dataValidation type="list" allowBlank="1" showInputMessage="1" showErrorMessage="1" xr:uid="{667AFE1C-D0F8-453D-96B5-12090C530506}">
          <x14:formula1>
            <xm:f>Sheet1!$B$13:$B$18</xm:f>
          </x14:formula1>
          <xm:sqref>D9:T9</xm:sqref>
        </x14:dataValidation>
        <x14:dataValidation type="list" allowBlank="1" showInputMessage="1" showErrorMessage="1" xr:uid="{172C1E18-98D9-4FF1-A888-17C0345773AF}">
          <x14:formula1>
            <xm:f>Sheet1!$B$39:$B$46</xm:f>
          </x14:formula1>
          <xm:sqref>D8:T8</xm:sqref>
        </x14:dataValidation>
        <x14:dataValidation type="list" allowBlank="1" showInputMessage="1" showErrorMessage="1" xr:uid="{379BFE19-1294-4461-B390-7F345A6C2491}">
          <x14:formula1>
            <xm:f>Sheet1!$B$20:$B$25</xm:f>
          </x14:formula1>
          <xm:sqref>D10:T10</xm:sqref>
        </x14:dataValidation>
        <x14:dataValidation type="list" allowBlank="1" showInputMessage="1" showErrorMessage="1" xr:uid="{85B01D42-FE96-40C4-8D00-DE43E3B88077}">
          <x14:formula1>
            <xm:f>Sheet1!$B$3:$B$11</xm:f>
          </x14:formula1>
          <xm:sqref>D11:T11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2BB4-949F-4881-825B-43D9A21E5CD8}">
  <sheetPr codeName="Sheet6">
    <pageSetUpPr fitToPage="1"/>
  </sheetPr>
  <dimension ref="A1:AO97"/>
  <sheetViews>
    <sheetView showGridLines="0" topLeftCell="A75" zoomScaleNormal="100" workbookViewId="0">
      <selection activeCell="N96" sqref="N96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5" width="3.77734375" style="3" customWidth="1"/>
    <col min="6" max="6" width="2.88671875" style="3" customWidth="1"/>
    <col min="7" max="7" width="3.88671875" style="3" customWidth="1"/>
    <col min="8" max="22" width="3.77734375" style="3" customWidth="1"/>
    <col min="23" max="23" width="7.109375" style="3" customWidth="1"/>
    <col min="24" max="24" width="10.44140625" style="3" customWidth="1"/>
    <col min="25" max="25" width="7.6640625" style="3" customWidth="1"/>
    <col min="26" max="26" width="6.33203125" style="3" customWidth="1"/>
    <col min="27" max="37" width="3.77734375" style="3" customWidth="1"/>
    <col min="38" max="41" width="0" style="3" hidden="1" customWidth="1"/>
    <col min="42" max="16384" width="8.88671875" style="3" hidden="1"/>
  </cols>
  <sheetData>
    <row r="1" spans="2:36" ht="4.9000000000000004" customHeight="1" x14ac:dyDescent="0.3"/>
    <row r="2" spans="2:36" s="59" customFormat="1" ht="60" customHeight="1" x14ac:dyDescent="0.8">
      <c r="B2" s="62" t="s">
        <v>178</v>
      </c>
      <c r="C2" s="62"/>
      <c r="D2" s="63"/>
      <c r="E2" s="63"/>
      <c r="F2" s="63"/>
      <c r="G2" s="63"/>
      <c r="H2" s="63"/>
      <c r="I2" s="63"/>
      <c r="J2" s="63"/>
      <c r="K2" s="63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6"/>
      <c r="AE2" s="232">
        <f ca="1">IF(MONTH(TODAY())=12,YEAR(TODAY())+1,YEAR(TODAY()))</f>
        <v>2026</v>
      </c>
      <c r="AF2" s="232"/>
      <c r="AG2" s="232"/>
      <c r="AH2" s="232"/>
      <c r="AI2" s="232"/>
      <c r="AJ2" s="232"/>
    </row>
    <row r="3" spans="2:36" customFormat="1" ht="19.899999999999999" customHeight="1" x14ac:dyDescent="0.3">
      <c r="B3" s="70"/>
      <c r="C3" s="70"/>
    </row>
    <row r="4" spans="2:36" customFormat="1" ht="18.95" customHeight="1" x14ac:dyDescent="0.3">
      <c r="B4" s="70"/>
      <c r="C4" s="70"/>
      <c r="R4" s="336" t="s">
        <v>179</v>
      </c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17"/>
      <c r="AF4" s="19"/>
      <c r="AG4" s="17"/>
      <c r="AH4" s="16"/>
      <c r="AI4" s="3"/>
      <c r="AJ4" s="8"/>
    </row>
    <row r="5" spans="2:36" customFormat="1" ht="19.899999999999999" customHeight="1" x14ac:dyDescent="0.3">
      <c r="B5" s="70"/>
      <c r="C5" s="70"/>
    </row>
    <row r="6" spans="2:36" s="75" customFormat="1" ht="19.899999999999999" hidden="1" customHeight="1" x14ac:dyDescent="0.3">
      <c r="B6" s="211">
        <f ca="1">DATE(CalendarYear,1,1)</f>
        <v>46023</v>
      </c>
      <c r="C6" s="82"/>
      <c r="D6" s="213" t="s">
        <v>5</v>
      </c>
      <c r="E6" s="214"/>
      <c r="F6" s="214"/>
      <c r="G6" s="214"/>
      <c r="H6" s="213" t="s">
        <v>6</v>
      </c>
      <c r="I6" s="214"/>
      <c r="J6" s="214"/>
      <c r="K6" s="214"/>
      <c r="L6" s="213" t="s">
        <v>7</v>
      </c>
      <c r="M6" s="214"/>
      <c r="N6" s="214"/>
      <c r="O6" s="214"/>
      <c r="P6" s="213" t="s">
        <v>8</v>
      </c>
      <c r="Q6" s="214"/>
      <c r="R6" s="214"/>
      <c r="S6" s="214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9"/>
      <c r="AF6" s="9"/>
      <c r="AG6" s="9"/>
      <c r="AH6" s="9"/>
      <c r="AI6" s="9"/>
      <c r="AJ6" s="11"/>
    </row>
    <row r="7" spans="2:36" s="75" customFormat="1" ht="19.899999999999999" hidden="1" customHeight="1" x14ac:dyDescent="0.3">
      <c r="B7" s="239"/>
      <c r="C7" s="90"/>
      <c r="D7" s="87" t="s">
        <v>9</v>
      </c>
      <c r="E7" s="80" t="s">
        <v>10</v>
      </c>
      <c r="F7" s="80" t="s">
        <v>11</v>
      </c>
      <c r="G7" s="80" t="s">
        <v>12</v>
      </c>
      <c r="H7" s="87" t="s">
        <v>9</v>
      </c>
      <c r="I7" s="80" t="s">
        <v>10</v>
      </c>
      <c r="J7" s="80" t="s">
        <v>11</v>
      </c>
      <c r="K7" s="80" t="s">
        <v>12</v>
      </c>
      <c r="L7" s="87" t="s">
        <v>9</v>
      </c>
      <c r="M7" s="80" t="s">
        <v>10</v>
      </c>
      <c r="N7" s="80" t="s">
        <v>11</v>
      </c>
      <c r="O7" s="80" t="s">
        <v>12</v>
      </c>
      <c r="P7" s="87" t="s">
        <v>9</v>
      </c>
      <c r="Q7" s="80" t="s">
        <v>10</v>
      </c>
      <c r="R7" s="80" t="s">
        <v>11</v>
      </c>
      <c r="S7" s="80" t="s">
        <v>12</v>
      </c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79"/>
      <c r="AF7" s="10"/>
      <c r="AG7" s="10"/>
      <c r="AH7" s="10"/>
      <c r="AI7" s="10"/>
      <c r="AJ7" s="12"/>
    </row>
    <row r="8" spans="2:36" ht="19.899999999999999" hidden="1" customHeight="1" x14ac:dyDescent="0.3">
      <c r="B8" s="83" t="s">
        <v>21</v>
      </c>
      <c r="C8" s="92" t="s">
        <v>22</v>
      </c>
      <c r="D8" s="193" t="s">
        <v>74</v>
      </c>
      <c r="E8" s="194"/>
      <c r="F8" s="194"/>
      <c r="G8" s="194"/>
      <c r="H8" s="193" t="s">
        <v>75</v>
      </c>
      <c r="I8" s="194"/>
      <c r="J8" s="194"/>
      <c r="K8" s="194"/>
      <c r="L8" s="193" t="s">
        <v>76</v>
      </c>
      <c r="M8" s="194"/>
      <c r="N8" s="194"/>
      <c r="O8" s="194"/>
      <c r="P8" s="193" t="s">
        <v>77</v>
      </c>
      <c r="Q8" s="194"/>
      <c r="R8" s="194"/>
      <c r="S8" s="194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2:36" ht="19.899999999999999" hidden="1" customHeight="1" x14ac:dyDescent="0.3">
      <c r="B9" s="84" t="s">
        <v>23</v>
      </c>
      <c r="C9" s="91" t="s">
        <v>24</v>
      </c>
      <c r="D9" s="193" t="s">
        <v>78</v>
      </c>
      <c r="E9" s="194"/>
      <c r="F9" s="194"/>
      <c r="G9" s="194"/>
      <c r="H9" s="193" t="s">
        <v>79</v>
      </c>
      <c r="I9" s="194"/>
      <c r="J9" s="194"/>
      <c r="K9" s="194"/>
      <c r="L9" s="193" t="s">
        <v>80</v>
      </c>
      <c r="M9" s="194"/>
      <c r="N9" s="194"/>
      <c r="O9" s="194"/>
      <c r="P9" s="193" t="s">
        <v>98</v>
      </c>
      <c r="Q9" s="194"/>
      <c r="R9" s="194"/>
      <c r="S9" s="194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ht="19.899999999999999" hidden="1" customHeight="1" x14ac:dyDescent="0.3">
      <c r="B10" s="84" t="s">
        <v>25</v>
      </c>
      <c r="C10" s="91" t="s">
        <v>26</v>
      </c>
      <c r="D10" s="193" t="s">
        <v>83</v>
      </c>
      <c r="E10" s="194"/>
      <c r="F10" s="194"/>
      <c r="G10" s="194"/>
      <c r="H10" s="193" t="s">
        <v>82</v>
      </c>
      <c r="I10" s="194"/>
      <c r="J10" s="194"/>
      <c r="K10" s="194"/>
      <c r="L10" s="193" t="s">
        <v>83</v>
      </c>
      <c r="M10" s="194"/>
      <c r="N10" s="194"/>
      <c r="O10" s="194"/>
      <c r="P10" s="193" t="s">
        <v>82</v>
      </c>
      <c r="Q10" s="194"/>
      <c r="R10" s="194"/>
      <c r="S10" s="194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2:36" ht="19.899999999999999" hidden="1" customHeight="1" x14ac:dyDescent="0.3">
      <c r="B11" s="84" t="s">
        <v>27</v>
      </c>
      <c r="C11" s="91" t="s">
        <v>28</v>
      </c>
      <c r="D11" s="193" t="s">
        <v>151</v>
      </c>
      <c r="E11" s="194"/>
      <c r="F11" s="194"/>
      <c r="G11" s="194"/>
      <c r="H11" s="193" t="s">
        <v>85</v>
      </c>
      <c r="I11" s="194"/>
      <c r="J11" s="194"/>
      <c r="K11" s="194"/>
      <c r="L11" s="193" t="s">
        <v>152</v>
      </c>
      <c r="M11" s="194"/>
      <c r="N11" s="194"/>
      <c r="O11" s="194"/>
      <c r="P11" s="193" t="s">
        <v>153</v>
      </c>
      <c r="Q11" s="194"/>
      <c r="R11" s="194"/>
      <c r="S11" s="194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ht="19.899999999999999" hidden="1" customHeight="1" x14ac:dyDescent="0.3">
      <c r="B12" s="84" t="s">
        <v>29</v>
      </c>
      <c r="C12" s="91" t="s">
        <v>30</v>
      </c>
      <c r="D12" s="193" t="s">
        <v>88</v>
      </c>
      <c r="E12" s="194"/>
      <c r="F12" s="194"/>
      <c r="G12" s="194"/>
      <c r="H12" s="193" t="s">
        <v>89</v>
      </c>
      <c r="I12" s="194"/>
      <c r="J12" s="194"/>
      <c r="K12" s="194"/>
      <c r="L12" s="193" t="s">
        <v>90</v>
      </c>
      <c r="M12" s="194"/>
      <c r="N12" s="194"/>
      <c r="O12" s="194"/>
      <c r="P12" s="193" t="s">
        <v>91</v>
      </c>
      <c r="Q12" s="194"/>
      <c r="R12" s="194"/>
      <c r="S12" s="194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2:36" ht="19.899999999999999" hidden="1" customHeight="1" x14ac:dyDescent="0.3">
      <c r="B13" s="84" t="s">
        <v>31</v>
      </c>
      <c r="C13" s="91" t="s">
        <v>30</v>
      </c>
      <c r="D13" s="193" t="s">
        <v>89</v>
      </c>
      <c r="E13" s="194"/>
      <c r="F13" s="194"/>
      <c r="G13" s="194"/>
      <c r="H13" s="193" t="s">
        <v>90</v>
      </c>
      <c r="I13" s="194"/>
      <c r="J13" s="194"/>
      <c r="K13" s="194"/>
      <c r="L13" s="193" t="s">
        <v>91</v>
      </c>
      <c r="M13" s="194"/>
      <c r="N13" s="194"/>
      <c r="O13" s="194"/>
      <c r="P13" s="193" t="s">
        <v>92</v>
      </c>
      <c r="Q13" s="194"/>
      <c r="R13" s="194"/>
      <c r="S13" s="194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2:36" ht="19.899999999999999" hidden="1" customHeight="1" x14ac:dyDescent="0.3">
      <c r="B14" s="84"/>
      <c r="C14" s="91"/>
      <c r="D14" s="93"/>
      <c r="E14" s="94"/>
      <c r="F14" s="94"/>
      <c r="G14" s="94"/>
      <c r="H14" s="93"/>
      <c r="I14" s="94"/>
      <c r="J14" s="94"/>
      <c r="K14" s="94"/>
      <c r="L14" s="93"/>
      <c r="M14" s="94"/>
      <c r="N14" s="94"/>
      <c r="O14" s="94"/>
      <c r="P14" s="93"/>
      <c r="Q14" s="94"/>
      <c r="R14" s="94"/>
      <c r="S14" s="94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2:36" ht="19.899999999999999" hidden="1" customHeight="1" x14ac:dyDescent="0.3">
      <c r="B15" s="85" t="s">
        <v>32</v>
      </c>
      <c r="C15" s="91" t="s">
        <v>30</v>
      </c>
      <c r="D15" s="193" t="s">
        <v>91</v>
      </c>
      <c r="E15" s="194"/>
      <c r="F15" s="194"/>
      <c r="G15" s="194"/>
      <c r="H15" s="193" t="s">
        <v>93</v>
      </c>
      <c r="I15" s="194"/>
      <c r="J15" s="194"/>
      <c r="K15" s="194"/>
      <c r="L15" s="193" t="s">
        <v>92</v>
      </c>
      <c r="M15" s="194"/>
      <c r="N15" s="194"/>
      <c r="O15" s="194"/>
      <c r="P15" s="193" t="s">
        <v>90</v>
      </c>
      <c r="Q15" s="194"/>
      <c r="R15" s="194"/>
      <c r="S15" s="194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2:36" ht="19.899999999999999" customHeight="1" x14ac:dyDescent="0.3">
      <c r="B16" s="110"/>
      <c r="C16" s="111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09"/>
      <c r="U16" s="334"/>
      <c r="V16" s="334"/>
      <c r="W16" s="334"/>
      <c r="X16" s="334"/>
      <c r="Y16" s="334"/>
      <c r="Z16" s="109"/>
      <c r="AA16" s="109"/>
      <c r="AB16" s="116"/>
      <c r="AC16" s="109"/>
      <c r="AD16" s="109"/>
      <c r="AE16" s="109"/>
      <c r="AF16" s="109"/>
      <c r="AG16" s="109"/>
      <c r="AH16" s="109"/>
      <c r="AI16" s="109"/>
      <c r="AJ16" s="109"/>
    </row>
    <row r="17" spans="2:36" ht="19.899999999999999" customHeight="1" x14ac:dyDescent="0.3">
      <c r="B17" s="335" t="s">
        <v>180</v>
      </c>
      <c r="C17" s="335"/>
      <c r="D17" s="335"/>
      <c r="E17" s="335"/>
      <c r="F17" s="335"/>
      <c r="G17" s="335"/>
      <c r="H17" s="335"/>
      <c r="I17" s="335"/>
      <c r="J17" s="335"/>
      <c r="K17" s="335"/>
      <c r="L17" s="335"/>
      <c r="M17" s="335"/>
      <c r="N17" s="335"/>
      <c r="O17" s="335"/>
      <c r="P17" s="335"/>
      <c r="Q17" s="335"/>
      <c r="R17" s="335"/>
      <c r="S17" s="335"/>
      <c r="T17" s="335"/>
      <c r="U17" s="335"/>
      <c r="V17" s="335"/>
      <c r="W17" s="335"/>
      <c r="X17" s="335"/>
      <c r="Y17" s="335"/>
      <c r="Z17" s="335"/>
      <c r="AA17" s="335"/>
      <c r="AB17" s="335"/>
      <c r="AC17" s="335"/>
      <c r="AD17" s="335"/>
      <c r="AE17" s="335"/>
      <c r="AF17" s="335"/>
      <c r="AG17" s="335"/>
      <c r="AH17" s="335"/>
      <c r="AI17" s="335"/>
      <c r="AJ17" s="335"/>
    </row>
    <row r="18" spans="2:36" s="76" customFormat="1" ht="19.899999999999999" hidden="1" customHeight="1" x14ac:dyDescent="0.3">
      <c r="B18" s="240">
        <f ca="1">DATE(CalendarYear,2,1)</f>
        <v>46054</v>
      </c>
      <c r="C18" s="309" t="s">
        <v>17</v>
      </c>
      <c r="D18" s="213" t="s">
        <v>5</v>
      </c>
      <c r="E18" s="214"/>
      <c r="F18" s="214"/>
      <c r="G18" s="214"/>
      <c r="H18" s="213" t="s">
        <v>6</v>
      </c>
      <c r="I18" s="214"/>
      <c r="J18" s="214"/>
      <c r="K18" s="215"/>
      <c r="L18" s="213" t="s">
        <v>7</v>
      </c>
      <c r="M18" s="214"/>
      <c r="N18" s="214"/>
      <c r="O18" s="215"/>
      <c r="P18" s="213" t="s">
        <v>8</v>
      </c>
      <c r="Q18" s="214"/>
      <c r="R18" s="214"/>
      <c r="S18" s="215"/>
      <c r="T18" s="89"/>
      <c r="U18" s="9"/>
      <c r="V18" s="9"/>
      <c r="W18" s="9"/>
      <c r="X18" s="9"/>
      <c r="Y18" s="9"/>
      <c r="Z18" s="9"/>
      <c r="AA18" s="9"/>
      <c r="AB18" s="9" t="str">
        <f ca="1">IF(DAY(FebSun1)=1,IF(AND(YEAR(FebSun1+22)=CalendarYear,MONTH(FebSun1+22)=2),FebSun1+22,""),IF(AND(YEAR(FebSun1+29)=CalendarYear,MONTH(FebSun1+29)=2),FebSun1+29,""))</f>
        <v/>
      </c>
      <c r="AC18" s="9" t="str">
        <f ca="1">IF(DAY(FebSun1)=1,IF(AND(YEAR(FebSun1+23)=CalendarYear,MONTH(FebSun1+23)=2),FebSun1+23,""),IF(AND(YEAR(FebSun1+30)=CalendarYear,MONTH(FebSun1+30)=2),FebSun1+30,""))</f>
        <v/>
      </c>
      <c r="AD18" s="9" t="str">
        <f ca="1">IF(DAY(FebSun1)=1,IF(AND(YEAR(FebSun1+24)=CalendarYear,MONTH(FebSun1+24)=2),FebSun1+24,""),IF(AND(YEAR(FebSun1+31)=CalendarYear,MONTH(FebSun1+31)=2),FebSun1+31,""))</f>
        <v/>
      </c>
      <c r="AE18" s="9" t="str">
        <f ca="1">IF(DAY(FebSun1)=1,IF(AND(YEAR(FebSun1+25)=CalendarYear,MONTH(FebSun1+25)=2),FebSun1+25,""),IF(AND(YEAR(FebSun1+32)=CalendarYear,MONTH(FebSun1+32)=2),FebSun1+32,""))</f>
        <v/>
      </c>
      <c r="AF18" s="9" t="str">
        <f ca="1">IF(DAY(FebSun1)=1,IF(AND(YEAR(FebSun1+26)=CalendarYear,MONTH(FebSun1+26)=2),FebSun1+26,""),IF(AND(YEAR(FebSun1+33)=CalendarYear,MONTH(FebSun1+33)=2),FebSun1+33,""))</f>
        <v/>
      </c>
      <c r="AG18" s="9" t="str">
        <f ca="1">IF(DAY(FebSun1)=1,IF(AND(YEAR(FebSun1+27)=CalendarYear,MONTH(FebSun1+27)=2),FebSun1+27,""),IF(AND(YEAR(FebSun1+34)=CalendarYear,MONTH(FebSun1+34)=2),FebSun1+34,""))</f>
        <v/>
      </c>
      <c r="AH18" s="9" t="str">
        <f ca="1">IF(DAY(FebSun1)=1,IF(AND(YEAR(FebSun1+28)=CalendarYear,MONTH(FebSun1+28)=2),FebSun1+28,""),IF(AND(YEAR(FebSun1+35)=CalendarYear,MONTH(FebSun1+35)=2),FebSun1+35,""))</f>
        <v/>
      </c>
      <c r="AI18" s="9" t="str">
        <f ca="1">IF(DAY(FebSun1)=1,IF(AND(YEAR(FebSun1+29)=CalendarYear,MONTH(FebSun1+29)=2),FebSun1+29,""),IF(AND(YEAR(FebSun1+36)=CalendarYear,MONTH(FebSun1+36)=2),FebSun1+36,""))</f>
        <v/>
      </c>
      <c r="AJ18" s="11" t="str">
        <f ca="1">IF(DAY(FebSun1)=1,IF(AND(YEAR(FebSun1+30)=CalendarYear,MONTH(FebSun1+30)=2),FebSun1+30,""),IF(AND(YEAR(FebSun1+37)=CalendarYear,MONTH(FebSun1+37)=2),FebSun1+37,""))</f>
        <v/>
      </c>
    </row>
    <row r="19" spans="2:36" s="76" customFormat="1" ht="19.899999999999999" hidden="1" customHeight="1" x14ac:dyDescent="0.3">
      <c r="B19" s="239"/>
      <c r="C19" s="309"/>
      <c r="D19" s="310" t="s">
        <v>156</v>
      </c>
      <c r="E19" s="311"/>
      <c r="F19" s="311"/>
      <c r="G19" s="311"/>
      <c r="H19" s="298" t="s">
        <v>18</v>
      </c>
      <c r="I19" s="299"/>
      <c r="J19" s="299"/>
      <c r="K19" s="300"/>
      <c r="L19" s="298" t="s">
        <v>19</v>
      </c>
      <c r="M19" s="299"/>
      <c r="N19" s="299"/>
      <c r="O19" s="300"/>
      <c r="P19" s="298" t="s">
        <v>20</v>
      </c>
      <c r="Q19" s="299"/>
      <c r="R19" s="299"/>
      <c r="S19" s="300"/>
      <c r="T19" s="79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2"/>
    </row>
    <row r="20" spans="2:36" ht="19.899999999999999" hidden="1" customHeight="1" x14ac:dyDescent="0.3">
      <c r="B20" s="83" t="s">
        <v>181</v>
      </c>
      <c r="C20" s="101" t="s">
        <v>182</v>
      </c>
      <c r="D20" s="327" t="s">
        <v>183</v>
      </c>
      <c r="E20" s="328"/>
      <c r="F20" s="328"/>
      <c r="G20" s="329"/>
      <c r="H20" s="327" t="s">
        <v>149</v>
      </c>
      <c r="I20" s="328"/>
      <c r="J20" s="328"/>
      <c r="K20" s="329"/>
      <c r="L20" s="327" t="s">
        <v>183</v>
      </c>
      <c r="M20" s="328"/>
      <c r="N20" s="328"/>
      <c r="O20" s="329"/>
      <c r="P20" s="327" t="s">
        <v>183</v>
      </c>
      <c r="Q20" s="328"/>
      <c r="R20" s="328"/>
      <c r="S20" s="329"/>
      <c r="T20" s="8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2:36" ht="19.899999999999999" hidden="1" customHeight="1" x14ac:dyDescent="0.3">
      <c r="B21" s="84" t="s">
        <v>184</v>
      </c>
      <c r="C21" s="102" t="s">
        <v>28</v>
      </c>
      <c r="D21" s="327" t="s">
        <v>183</v>
      </c>
      <c r="E21" s="328"/>
      <c r="F21" s="328"/>
      <c r="G21" s="329"/>
      <c r="H21" s="327" t="s">
        <v>183</v>
      </c>
      <c r="I21" s="328"/>
      <c r="J21" s="328"/>
      <c r="K21" s="329"/>
      <c r="L21" s="327" t="s">
        <v>183</v>
      </c>
      <c r="M21" s="328"/>
      <c r="N21" s="328"/>
      <c r="O21" s="329"/>
      <c r="P21" s="327" t="s">
        <v>183</v>
      </c>
      <c r="Q21" s="328"/>
      <c r="R21" s="328"/>
      <c r="S21" s="329"/>
      <c r="T21" s="8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ht="19.899999999999999" hidden="1" customHeight="1" x14ac:dyDescent="0.3">
      <c r="B22" s="84" t="s">
        <v>185</v>
      </c>
      <c r="C22" s="102" t="s">
        <v>26</v>
      </c>
      <c r="D22" s="327"/>
      <c r="E22" s="328"/>
      <c r="F22" s="328"/>
      <c r="G22" s="329"/>
      <c r="H22" s="327"/>
      <c r="I22" s="328"/>
      <c r="J22" s="328"/>
      <c r="K22" s="329"/>
      <c r="L22" s="327"/>
      <c r="M22" s="328"/>
      <c r="N22" s="328"/>
      <c r="O22" s="329"/>
      <c r="P22" s="327" t="s">
        <v>183</v>
      </c>
      <c r="Q22" s="328"/>
      <c r="R22" s="328"/>
      <c r="S22" s="329"/>
      <c r="T22" s="8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ht="19.899999999999999" hidden="1" customHeight="1" x14ac:dyDescent="0.3">
      <c r="B23" s="84" t="s">
        <v>186</v>
      </c>
      <c r="C23" s="102" t="s">
        <v>24</v>
      </c>
      <c r="D23" s="327" t="s">
        <v>183</v>
      </c>
      <c r="E23" s="328"/>
      <c r="F23" s="328"/>
      <c r="G23" s="329"/>
      <c r="H23" s="327" t="s">
        <v>183</v>
      </c>
      <c r="I23" s="328"/>
      <c r="J23" s="328"/>
      <c r="K23" s="329"/>
      <c r="L23" s="327" t="s">
        <v>183</v>
      </c>
      <c r="M23" s="328"/>
      <c r="N23" s="328"/>
      <c r="O23" s="329"/>
      <c r="P23" s="327" t="s">
        <v>183</v>
      </c>
      <c r="Q23" s="328"/>
      <c r="R23" s="328"/>
      <c r="S23" s="329"/>
      <c r="T23" s="81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ht="19.899999999999999" hidden="1" customHeight="1" x14ac:dyDescent="0.3">
      <c r="B24" s="84" t="s">
        <v>187</v>
      </c>
      <c r="C24" s="102" t="s">
        <v>22</v>
      </c>
      <c r="D24" s="327"/>
      <c r="E24" s="328"/>
      <c r="F24" s="328"/>
      <c r="G24" s="329"/>
      <c r="H24" s="327" t="s">
        <v>183</v>
      </c>
      <c r="I24" s="328"/>
      <c r="J24" s="328"/>
      <c r="K24" s="329"/>
      <c r="L24" s="327"/>
      <c r="M24" s="328"/>
      <c r="N24" s="328"/>
      <c r="O24" s="329"/>
      <c r="P24" s="327"/>
      <c r="Q24" s="328"/>
      <c r="R24" s="328"/>
      <c r="S24" s="329"/>
      <c r="T24" s="81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ht="19.899999999999999" hidden="1" customHeight="1" x14ac:dyDescent="0.3">
      <c r="B25" s="84" t="s">
        <v>188</v>
      </c>
      <c r="C25" s="102" t="s">
        <v>182</v>
      </c>
      <c r="D25" s="327"/>
      <c r="E25" s="328"/>
      <c r="F25" s="328"/>
      <c r="G25" s="329"/>
      <c r="H25" s="327" t="s">
        <v>183</v>
      </c>
      <c r="I25" s="328"/>
      <c r="J25" s="328"/>
      <c r="K25" s="329"/>
      <c r="L25" s="327" t="s">
        <v>183</v>
      </c>
      <c r="M25" s="328"/>
      <c r="N25" s="328"/>
      <c r="O25" s="329"/>
      <c r="P25" s="327"/>
      <c r="Q25" s="328"/>
      <c r="R25" s="328"/>
      <c r="S25" s="329"/>
      <c r="T25" s="81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ht="19.899999999999999" hidden="1" customHeight="1" x14ac:dyDescent="0.3">
      <c r="B26" s="85" t="s">
        <v>189</v>
      </c>
      <c r="C26" s="102" t="s">
        <v>182</v>
      </c>
      <c r="D26" s="327"/>
      <c r="E26" s="328"/>
      <c r="F26" s="328"/>
      <c r="G26" s="329"/>
      <c r="H26" s="327"/>
      <c r="I26" s="328"/>
      <c r="J26" s="328"/>
      <c r="K26" s="329"/>
      <c r="L26" s="327"/>
      <c r="M26" s="328"/>
      <c r="N26" s="328"/>
      <c r="O26" s="329"/>
      <c r="P26" s="327"/>
      <c r="Q26" s="328"/>
      <c r="R26" s="328"/>
      <c r="S26" s="329"/>
      <c r="T26" s="81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ht="19.899999999999999" hidden="1" customHeight="1" x14ac:dyDescent="0.3">
      <c r="B27" s="85" t="s">
        <v>190</v>
      </c>
      <c r="C27" s="115" t="s">
        <v>182</v>
      </c>
      <c r="D27" s="327"/>
      <c r="E27" s="328"/>
      <c r="F27" s="328"/>
      <c r="G27" s="329"/>
      <c r="H27" s="327"/>
      <c r="I27" s="328"/>
      <c r="J27" s="328"/>
      <c r="K27" s="329"/>
      <c r="L27" s="327"/>
      <c r="M27" s="328"/>
      <c r="N27" s="328"/>
      <c r="O27" s="329"/>
      <c r="P27" s="327"/>
      <c r="Q27" s="328"/>
      <c r="R27" s="328"/>
      <c r="S27" s="329"/>
      <c r="T27" s="81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ht="19.899999999999999" hidden="1" customHeight="1" x14ac:dyDescent="0.3">
      <c r="B28" s="85" t="s">
        <v>191</v>
      </c>
      <c r="C28" s="115" t="s">
        <v>182</v>
      </c>
      <c r="D28" s="327" t="s">
        <v>149</v>
      </c>
      <c r="E28" s="328"/>
      <c r="F28" s="328"/>
      <c r="G28" s="329"/>
      <c r="H28" s="327" t="s">
        <v>183</v>
      </c>
      <c r="I28" s="328"/>
      <c r="J28" s="328"/>
      <c r="K28" s="329"/>
      <c r="L28" s="327" t="s">
        <v>183</v>
      </c>
      <c r="M28" s="328"/>
      <c r="N28" s="328"/>
      <c r="O28" s="329"/>
      <c r="P28" s="327" t="s">
        <v>149</v>
      </c>
      <c r="Q28" s="328"/>
      <c r="R28" s="328"/>
      <c r="S28" s="329"/>
      <c r="T28" s="81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ht="19.899999999999999" hidden="1" customHeight="1" x14ac:dyDescent="0.3">
      <c r="B29" s="85"/>
      <c r="C29" s="115"/>
      <c r="D29" s="327"/>
      <c r="E29" s="328"/>
      <c r="F29" s="328"/>
      <c r="G29" s="329"/>
      <c r="H29" s="327"/>
      <c r="I29" s="328"/>
      <c r="J29" s="328"/>
      <c r="K29" s="333"/>
      <c r="L29" s="327"/>
      <c r="M29" s="328"/>
      <c r="N29" s="328"/>
      <c r="O29" s="333"/>
      <c r="P29" s="327"/>
      <c r="Q29" s="328"/>
      <c r="R29" s="328"/>
      <c r="S29" s="333"/>
      <c r="T29" s="81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ht="19.899999999999999" hidden="1" customHeight="1" x14ac:dyDescent="0.3">
      <c r="B30" s="85"/>
      <c r="C30" s="115"/>
      <c r="D30" s="327"/>
      <c r="E30" s="328"/>
      <c r="F30" s="328"/>
      <c r="G30" s="329"/>
      <c r="H30" s="327"/>
      <c r="I30" s="328"/>
      <c r="J30" s="328"/>
      <c r="K30" s="333"/>
      <c r="L30" s="327"/>
      <c r="M30" s="328"/>
      <c r="N30" s="328"/>
      <c r="O30" s="333"/>
      <c r="P30" s="327"/>
      <c r="Q30" s="328"/>
      <c r="R30" s="328"/>
      <c r="S30" s="333"/>
      <c r="T30" s="81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ht="19.899999999999999" hidden="1" customHeight="1" thickBot="1" x14ac:dyDescent="0.35">
      <c r="B31" s="74"/>
      <c r="C31" s="74"/>
    </row>
    <row r="32" spans="2:36" s="75" customFormat="1" ht="19.899999999999999" hidden="1" customHeight="1" x14ac:dyDescent="0.3">
      <c r="B32" s="211">
        <f ca="1">DATE(CalendarYear,3,1)</f>
        <v>46082</v>
      </c>
      <c r="C32" s="296" t="s">
        <v>17</v>
      </c>
      <c r="D32" s="213" t="s">
        <v>5</v>
      </c>
      <c r="E32" s="214"/>
      <c r="F32" s="214"/>
      <c r="G32" s="214"/>
      <c r="H32" s="213" t="s">
        <v>6</v>
      </c>
      <c r="I32" s="214"/>
      <c r="J32" s="214"/>
      <c r="K32" s="215"/>
      <c r="L32" s="213" t="s">
        <v>7</v>
      </c>
      <c r="M32" s="214"/>
      <c r="N32" s="214"/>
      <c r="O32" s="215"/>
      <c r="P32" s="213" t="s">
        <v>8</v>
      </c>
      <c r="Q32" s="214"/>
      <c r="R32" s="214"/>
      <c r="S32" s="215"/>
      <c r="T32" s="8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11"/>
    </row>
    <row r="33" spans="2:36" s="75" customFormat="1" ht="19.899999999999999" hidden="1" customHeight="1" x14ac:dyDescent="0.3">
      <c r="B33" s="212"/>
      <c r="C33" s="297"/>
      <c r="D33" s="318" t="s">
        <v>33</v>
      </c>
      <c r="E33" s="319"/>
      <c r="F33" s="319"/>
      <c r="G33" s="320"/>
      <c r="H33" s="318" t="s">
        <v>34</v>
      </c>
      <c r="I33" s="319"/>
      <c r="J33" s="319"/>
      <c r="K33" s="321"/>
      <c r="L33" s="318" t="s">
        <v>35</v>
      </c>
      <c r="M33" s="319"/>
      <c r="N33" s="319"/>
      <c r="O33" s="321"/>
      <c r="P33" s="318" t="s">
        <v>36</v>
      </c>
      <c r="Q33" s="319"/>
      <c r="R33" s="319"/>
      <c r="S33" s="321"/>
      <c r="T33" s="79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2"/>
    </row>
    <row r="34" spans="2:36" ht="19.899999999999999" hidden="1" customHeight="1" x14ac:dyDescent="0.3">
      <c r="B34" s="83" t="s">
        <v>181</v>
      </c>
      <c r="C34" s="101" t="s">
        <v>182</v>
      </c>
      <c r="D34" s="327" t="s">
        <v>183</v>
      </c>
      <c r="E34" s="328"/>
      <c r="F34" s="328"/>
      <c r="G34" s="329"/>
      <c r="H34" s="327" t="s">
        <v>183</v>
      </c>
      <c r="I34" s="328"/>
      <c r="J34" s="328"/>
      <c r="K34" s="329"/>
      <c r="L34" s="327" t="s">
        <v>183</v>
      </c>
      <c r="M34" s="328"/>
      <c r="N34" s="328"/>
      <c r="O34" s="329"/>
      <c r="P34" s="327" t="s">
        <v>183</v>
      </c>
      <c r="Q34" s="328"/>
      <c r="R34" s="328"/>
      <c r="S34" s="329"/>
      <c r="T34" s="135">
        <f t="shared" ref="T34:T42" si="0">COUNTA(D34:S34)</f>
        <v>4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2:36" ht="19.899999999999999" hidden="1" customHeight="1" x14ac:dyDescent="0.3">
      <c r="B35" s="84" t="s">
        <v>184</v>
      </c>
      <c r="C35" s="102" t="s">
        <v>28</v>
      </c>
      <c r="D35" s="327" t="s">
        <v>149</v>
      </c>
      <c r="E35" s="328"/>
      <c r="F35" s="328"/>
      <c r="G35" s="329"/>
      <c r="H35" s="327" t="s">
        <v>149</v>
      </c>
      <c r="I35" s="328"/>
      <c r="J35" s="328"/>
      <c r="K35" s="329"/>
      <c r="L35" s="327" t="s">
        <v>183</v>
      </c>
      <c r="M35" s="328"/>
      <c r="N35" s="328"/>
      <c r="O35" s="329"/>
      <c r="P35" s="327" t="s">
        <v>183</v>
      </c>
      <c r="Q35" s="328"/>
      <c r="R35" s="328"/>
      <c r="S35" s="329"/>
      <c r="T35" s="135">
        <f t="shared" si="0"/>
        <v>4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ht="19.899999999999999" hidden="1" customHeight="1" x14ac:dyDescent="0.3">
      <c r="B36" s="84" t="s">
        <v>185</v>
      </c>
      <c r="C36" s="102" t="s">
        <v>26</v>
      </c>
      <c r="D36" s="327" t="s">
        <v>183</v>
      </c>
      <c r="E36" s="328"/>
      <c r="F36" s="328"/>
      <c r="G36" s="329"/>
      <c r="H36" s="327" t="s">
        <v>183</v>
      </c>
      <c r="I36" s="328"/>
      <c r="J36" s="328"/>
      <c r="K36" s="329"/>
      <c r="L36" s="327" t="s">
        <v>183</v>
      </c>
      <c r="M36" s="328"/>
      <c r="N36" s="328"/>
      <c r="O36" s="329"/>
      <c r="P36" s="327" t="s">
        <v>183</v>
      </c>
      <c r="Q36" s="328"/>
      <c r="R36" s="328"/>
      <c r="S36" s="329"/>
      <c r="T36" s="135">
        <f t="shared" si="0"/>
        <v>4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ht="19.899999999999999" hidden="1" customHeight="1" x14ac:dyDescent="0.3">
      <c r="B37" s="84" t="s">
        <v>186</v>
      </c>
      <c r="C37" s="102" t="s">
        <v>24</v>
      </c>
      <c r="D37" s="327" t="s">
        <v>183</v>
      </c>
      <c r="E37" s="328"/>
      <c r="F37" s="328"/>
      <c r="G37" s="329"/>
      <c r="H37" s="327" t="s">
        <v>183</v>
      </c>
      <c r="I37" s="328"/>
      <c r="J37" s="328"/>
      <c r="K37" s="329"/>
      <c r="L37" s="327" t="s">
        <v>183</v>
      </c>
      <c r="M37" s="328"/>
      <c r="N37" s="328"/>
      <c r="O37" s="329"/>
      <c r="P37" s="327" t="s">
        <v>183</v>
      </c>
      <c r="Q37" s="328"/>
      <c r="R37" s="328"/>
      <c r="S37" s="329"/>
      <c r="T37" s="135">
        <f t="shared" si="0"/>
        <v>4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ht="19.899999999999999" hidden="1" customHeight="1" x14ac:dyDescent="0.3">
      <c r="B38" s="84" t="s">
        <v>187</v>
      </c>
      <c r="C38" s="102" t="s">
        <v>22</v>
      </c>
      <c r="D38" s="327" t="s">
        <v>183</v>
      </c>
      <c r="E38" s="328"/>
      <c r="F38" s="328"/>
      <c r="G38" s="329"/>
      <c r="H38" s="327" t="s">
        <v>183</v>
      </c>
      <c r="I38" s="328"/>
      <c r="J38" s="328"/>
      <c r="K38" s="329"/>
      <c r="L38" s="327" t="s">
        <v>183</v>
      </c>
      <c r="M38" s="328"/>
      <c r="N38" s="328"/>
      <c r="O38" s="329"/>
      <c r="P38" s="327" t="s">
        <v>183</v>
      </c>
      <c r="Q38" s="328"/>
      <c r="R38" s="328"/>
      <c r="S38" s="329"/>
      <c r="T38" s="135">
        <f t="shared" si="0"/>
        <v>4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ht="19.899999999999999" hidden="1" customHeight="1" x14ac:dyDescent="0.3">
      <c r="B39" s="84" t="s">
        <v>188</v>
      </c>
      <c r="C39" s="102" t="s">
        <v>182</v>
      </c>
      <c r="D39" s="327" t="s">
        <v>183</v>
      </c>
      <c r="E39" s="328"/>
      <c r="F39" s="328"/>
      <c r="G39" s="329"/>
      <c r="H39" s="327" t="s">
        <v>183</v>
      </c>
      <c r="I39" s="328"/>
      <c r="J39" s="328"/>
      <c r="K39" s="329"/>
      <c r="L39" s="327" t="s">
        <v>183</v>
      </c>
      <c r="M39" s="328"/>
      <c r="N39" s="328"/>
      <c r="O39" s="329"/>
      <c r="P39" s="327" t="s">
        <v>183</v>
      </c>
      <c r="Q39" s="328"/>
      <c r="R39" s="328"/>
      <c r="S39" s="329"/>
      <c r="T39" s="135">
        <f t="shared" si="0"/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ht="19.899999999999999" hidden="1" customHeight="1" x14ac:dyDescent="0.3">
      <c r="B40" s="85" t="s">
        <v>189</v>
      </c>
      <c r="C40" s="102" t="s">
        <v>182</v>
      </c>
      <c r="D40" s="327" t="s">
        <v>183</v>
      </c>
      <c r="E40" s="328"/>
      <c r="F40" s="328"/>
      <c r="G40" s="329"/>
      <c r="H40" s="327" t="s">
        <v>183</v>
      </c>
      <c r="I40" s="328"/>
      <c r="J40" s="328"/>
      <c r="K40" s="329"/>
      <c r="L40" s="327" t="s">
        <v>183</v>
      </c>
      <c r="M40" s="328"/>
      <c r="N40" s="328"/>
      <c r="O40" s="329"/>
      <c r="P40" s="327" t="s">
        <v>183</v>
      </c>
      <c r="Q40" s="328"/>
      <c r="R40" s="328"/>
      <c r="S40" s="329"/>
      <c r="T40" s="135">
        <f t="shared" si="0"/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2:36" ht="19.899999999999999" hidden="1" customHeight="1" x14ac:dyDescent="0.3">
      <c r="B41" s="85" t="s">
        <v>190</v>
      </c>
      <c r="C41" s="115" t="s">
        <v>182</v>
      </c>
      <c r="D41" s="327"/>
      <c r="E41" s="328"/>
      <c r="F41" s="328"/>
      <c r="G41" s="329"/>
      <c r="H41" s="327" t="s">
        <v>149</v>
      </c>
      <c r="I41" s="328"/>
      <c r="J41" s="328"/>
      <c r="K41" s="329"/>
      <c r="L41" s="327"/>
      <c r="M41" s="328"/>
      <c r="N41" s="328"/>
      <c r="O41" s="329"/>
      <c r="P41" s="327"/>
      <c r="Q41" s="328"/>
      <c r="R41" s="328"/>
      <c r="S41" s="329"/>
      <c r="T41" s="135">
        <f t="shared" si="0"/>
        <v>1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2:36" ht="19.899999999999999" hidden="1" customHeight="1" x14ac:dyDescent="0.3">
      <c r="B42" s="85" t="s">
        <v>191</v>
      </c>
      <c r="C42" s="115" t="s">
        <v>182</v>
      </c>
      <c r="D42" s="327" t="s">
        <v>149</v>
      </c>
      <c r="E42" s="328"/>
      <c r="F42" s="328"/>
      <c r="G42" s="329"/>
      <c r="H42" s="327" t="s">
        <v>149</v>
      </c>
      <c r="I42" s="328"/>
      <c r="J42" s="328"/>
      <c r="K42" s="329"/>
      <c r="L42" s="327" t="s">
        <v>149</v>
      </c>
      <c r="M42" s="328"/>
      <c r="N42" s="328"/>
      <c r="O42" s="329"/>
      <c r="P42" s="327" t="s">
        <v>149</v>
      </c>
      <c r="Q42" s="328"/>
      <c r="R42" s="328"/>
      <c r="S42" s="329"/>
      <c r="T42" s="135">
        <f t="shared" si="0"/>
        <v>4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2:36" ht="19.899999999999999" hidden="1" customHeight="1" thickBot="1" x14ac:dyDescent="0.35">
      <c r="B43" s="74"/>
      <c r="C43" s="74"/>
      <c r="T43" s="136">
        <f>SUM(T34:T42)</f>
        <v>33</v>
      </c>
      <c r="U43" s="337" t="s">
        <v>192</v>
      </c>
      <c r="V43" s="337"/>
      <c r="W43" s="137">
        <f>T43/36*100</f>
        <v>91.666666666666657</v>
      </c>
    </row>
    <row r="44" spans="2:36" s="75" customFormat="1" ht="19.899999999999999" hidden="1" customHeight="1" x14ac:dyDescent="0.3">
      <c r="B44" s="211">
        <f ca="1">DATE(CalendarYear,4,1)</f>
        <v>46113</v>
      </c>
      <c r="C44" s="296" t="s">
        <v>17</v>
      </c>
      <c r="D44" s="213" t="s">
        <v>5</v>
      </c>
      <c r="E44" s="214"/>
      <c r="F44" s="214"/>
      <c r="G44" s="214"/>
      <c r="H44" s="213" t="s">
        <v>6</v>
      </c>
      <c r="I44" s="214"/>
      <c r="J44" s="214"/>
      <c r="K44" s="215"/>
      <c r="L44" s="213" t="s">
        <v>7</v>
      </c>
      <c r="M44" s="214"/>
      <c r="N44" s="214"/>
      <c r="O44" s="215"/>
      <c r="P44" s="213" t="s">
        <v>8</v>
      </c>
      <c r="Q44" s="214"/>
      <c r="R44" s="214"/>
      <c r="S44" s="215"/>
      <c r="T44" s="213" t="s">
        <v>39</v>
      </c>
      <c r="U44" s="214"/>
      <c r="V44" s="214"/>
      <c r="W44" s="215"/>
      <c r="X44" s="8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11"/>
    </row>
    <row r="45" spans="2:36" s="75" customFormat="1" ht="19.899999999999999" hidden="1" customHeight="1" x14ac:dyDescent="0.3">
      <c r="B45" s="212"/>
      <c r="C45" s="297"/>
      <c r="D45" s="318" t="s">
        <v>40</v>
      </c>
      <c r="E45" s="319"/>
      <c r="F45" s="319"/>
      <c r="G45" s="320"/>
      <c r="H45" s="318" t="s">
        <v>41</v>
      </c>
      <c r="I45" s="319"/>
      <c r="J45" s="319"/>
      <c r="K45" s="321"/>
      <c r="L45" s="318" t="s">
        <v>42</v>
      </c>
      <c r="M45" s="319"/>
      <c r="N45" s="319"/>
      <c r="O45" s="321"/>
      <c r="P45" s="318" t="s">
        <v>172</v>
      </c>
      <c r="Q45" s="319"/>
      <c r="R45" s="319"/>
      <c r="S45" s="321"/>
      <c r="T45" s="322" t="s">
        <v>173</v>
      </c>
      <c r="U45" s="226"/>
      <c r="V45" s="226"/>
      <c r="W45" s="323"/>
      <c r="X45" s="79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2"/>
    </row>
    <row r="46" spans="2:36" ht="19.899999999999999" hidden="1" customHeight="1" x14ac:dyDescent="0.3">
      <c r="B46" s="83" t="s">
        <v>181</v>
      </c>
      <c r="C46" s="101" t="s">
        <v>182</v>
      </c>
      <c r="D46" s="327" t="s">
        <v>183</v>
      </c>
      <c r="E46" s="328"/>
      <c r="F46" s="328"/>
      <c r="G46" s="329"/>
      <c r="H46" s="327" t="s">
        <v>183</v>
      </c>
      <c r="I46" s="328"/>
      <c r="J46" s="328"/>
      <c r="K46" s="329"/>
      <c r="L46" s="327" t="s">
        <v>183</v>
      </c>
      <c r="M46" s="328"/>
      <c r="N46" s="328"/>
      <c r="O46" s="329"/>
      <c r="P46" s="327" t="s">
        <v>149</v>
      </c>
      <c r="Q46" s="328"/>
      <c r="R46" s="328"/>
      <c r="S46" s="329"/>
      <c r="T46" s="327" t="s">
        <v>183</v>
      </c>
      <c r="U46" s="328"/>
      <c r="V46" s="328"/>
      <c r="W46" s="329"/>
      <c r="X46" s="8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2:36" ht="19.899999999999999" hidden="1" customHeight="1" x14ac:dyDescent="0.3">
      <c r="B47" s="84" t="s">
        <v>184</v>
      </c>
      <c r="C47" s="102" t="s">
        <v>28</v>
      </c>
      <c r="D47" s="327" t="s">
        <v>183</v>
      </c>
      <c r="E47" s="328"/>
      <c r="F47" s="328"/>
      <c r="G47" s="329"/>
      <c r="H47" s="327" t="s">
        <v>183</v>
      </c>
      <c r="I47" s="328"/>
      <c r="J47" s="328"/>
      <c r="K47" s="329"/>
      <c r="L47" s="327" t="s">
        <v>183</v>
      </c>
      <c r="M47" s="328"/>
      <c r="N47" s="328"/>
      <c r="O47" s="329"/>
      <c r="P47" s="327" t="s">
        <v>183</v>
      </c>
      <c r="Q47" s="328"/>
      <c r="R47" s="328"/>
      <c r="S47" s="329"/>
      <c r="T47" s="327" t="s">
        <v>183</v>
      </c>
      <c r="U47" s="328"/>
      <c r="V47" s="328"/>
      <c r="W47" s="329"/>
      <c r="X47" s="81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ht="19.899999999999999" hidden="1" customHeight="1" x14ac:dyDescent="0.3">
      <c r="B48" s="84" t="s">
        <v>185</v>
      </c>
      <c r="C48" s="102" t="s">
        <v>26</v>
      </c>
      <c r="D48" s="327" t="s">
        <v>183</v>
      </c>
      <c r="E48" s="328"/>
      <c r="F48" s="328"/>
      <c r="G48" s="329"/>
      <c r="H48" s="327" t="s">
        <v>183</v>
      </c>
      <c r="I48" s="328"/>
      <c r="J48" s="328"/>
      <c r="K48" s="329"/>
      <c r="L48" s="327" t="s">
        <v>149</v>
      </c>
      <c r="M48" s="328"/>
      <c r="N48" s="328"/>
      <c r="O48" s="329"/>
      <c r="P48" s="327" t="s">
        <v>193</v>
      </c>
      <c r="Q48" s="328"/>
      <c r="R48" s="328"/>
      <c r="S48" s="329"/>
      <c r="T48" s="327" t="s">
        <v>183</v>
      </c>
      <c r="U48" s="328"/>
      <c r="V48" s="328"/>
      <c r="W48" s="329"/>
      <c r="X48" s="81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ht="19.899999999999999" hidden="1" customHeight="1" x14ac:dyDescent="0.3">
      <c r="B49" s="84" t="s">
        <v>186</v>
      </c>
      <c r="C49" s="102" t="s">
        <v>24</v>
      </c>
      <c r="D49" s="327" t="s">
        <v>149</v>
      </c>
      <c r="E49" s="328"/>
      <c r="F49" s="328"/>
      <c r="G49" s="329"/>
      <c r="H49" s="327" t="s">
        <v>193</v>
      </c>
      <c r="I49" s="328"/>
      <c r="J49" s="328"/>
      <c r="K49" s="329"/>
      <c r="L49" s="327" t="s">
        <v>183</v>
      </c>
      <c r="M49" s="328"/>
      <c r="N49" s="328"/>
      <c r="O49" s="329"/>
      <c r="P49" s="327" t="s">
        <v>183</v>
      </c>
      <c r="Q49" s="328"/>
      <c r="R49" s="328"/>
      <c r="S49" s="329"/>
      <c r="T49" s="327" t="s">
        <v>183</v>
      </c>
      <c r="U49" s="328"/>
      <c r="V49" s="328"/>
      <c r="W49" s="329"/>
      <c r="X49" s="81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ht="19.899999999999999" hidden="1" customHeight="1" x14ac:dyDescent="0.3">
      <c r="B50" s="84" t="s">
        <v>187</v>
      </c>
      <c r="C50" s="102" t="s">
        <v>22</v>
      </c>
      <c r="D50" s="327" t="s">
        <v>183</v>
      </c>
      <c r="E50" s="328"/>
      <c r="F50" s="328"/>
      <c r="G50" s="329"/>
      <c r="H50" s="327"/>
      <c r="I50" s="328"/>
      <c r="J50" s="328"/>
      <c r="K50" s="329"/>
      <c r="L50" s="327" t="s">
        <v>183</v>
      </c>
      <c r="M50" s="328"/>
      <c r="N50" s="328"/>
      <c r="O50" s="329"/>
      <c r="P50" s="327" t="s">
        <v>149</v>
      </c>
      <c r="Q50" s="328"/>
      <c r="R50" s="328"/>
      <c r="S50" s="329"/>
      <c r="T50" s="327" t="s">
        <v>149</v>
      </c>
      <c r="U50" s="328"/>
      <c r="V50" s="328"/>
      <c r="W50" s="329"/>
      <c r="X50" s="81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ht="19.899999999999999" hidden="1" customHeight="1" x14ac:dyDescent="0.3">
      <c r="B51" s="84" t="s">
        <v>188</v>
      </c>
      <c r="C51" s="102" t="s">
        <v>182</v>
      </c>
      <c r="D51" s="327" t="s">
        <v>183</v>
      </c>
      <c r="E51" s="328"/>
      <c r="F51" s="328"/>
      <c r="G51" s="329"/>
      <c r="H51" s="327" t="s">
        <v>183</v>
      </c>
      <c r="I51" s="328"/>
      <c r="J51" s="328"/>
      <c r="K51" s="329"/>
      <c r="L51" s="327" t="s">
        <v>183</v>
      </c>
      <c r="M51" s="328"/>
      <c r="N51" s="328"/>
      <c r="O51" s="329"/>
      <c r="P51" s="327" t="s">
        <v>183</v>
      </c>
      <c r="Q51" s="328"/>
      <c r="R51" s="328"/>
      <c r="S51" s="329"/>
      <c r="T51" s="327" t="s">
        <v>149</v>
      </c>
      <c r="U51" s="328"/>
      <c r="V51" s="328"/>
      <c r="W51" s="329"/>
      <c r="X51" s="81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ht="19.899999999999999" hidden="1" customHeight="1" x14ac:dyDescent="0.3">
      <c r="B52" s="85" t="s">
        <v>189</v>
      </c>
      <c r="C52" s="102" t="s">
        <v>182</v>
      </c>
      <c r="D52" s="327"/>
      <c r="E52" s="328"/>
      <c r="F52" s="328"/>
      <c r="G52" s="329"/>
      <c r="H52" s="327"/>
      <c r="I52" s="328"/>
      <c r="J52" s="328"/>
      <c r="K52" s="329"/>
      <c r="L52" s="327"/>
      <c r="M52" s="328"/>
      <c r="N52" s="328"/>
      <c r="O52" s="329"/>
      <c r="P52" s="327"/>
      <c r="Q52" s="328"/>
      <c r="R52" s="328"/>
      <c r="S52" s="329"/>
      <c r="T52" s="327"/>
      <c r="U52" s="328"/>
      <c r="V52" s="328"/>
      <c r="W52" s="329"/>
      <c r="X52" s="81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ht="19.899999999999999" hidden="1" customHeight="1" x14ac:dyDescent="0.3">
      <c r="B53" s="85" t="s">
        <v>190</v>
      </c>
      <c r="C53" s="115" t="s">
        <v>182</v>
      </c>
      <c r="D53" s="327" t="s">
        <v>183</v>
      </c>
      <c r="E53" s="328"/>
      <c r="F53" s="328"/>
      <c r="G53" s="329"/>
      <c r="H53" s="327" t="s">
        <v>183</v>
      </c>
      <c r="I53" s="328"/>
      <c r="J53" s="328"/>
      <c r="K53" s="329"/>
      <c r="L53" s="327" t="s">
        <v>149</v>
      </c>
      <c r="M53" s="328"/>
      <c r="N53" s="328"/>
      <c r="O53" s="329"/>
      <c r="P53" s="327" t="s">
        <v>183</v>
      </c>
      <c r="Q53" s="328"/>
      <c r="R53" s="328"/>
      <c r="S53" s="329"/>
      <c r="T53" s="327" t="s">
        <v>183</v>
      </c>
      <c r="U53" s="328"/>
      <c r="V53" s="328"/>
      <c r="W53" s="329"/>
      <c r="X53" s="81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ht="19.899999999999999" hidden="1" customHeight="1" x14ac:dyDescent="0.3">
      <c r="B54" s="85" t="s">
        <v>191</v>
      </c>
      <c r="C54" s="115" t="s">
        <v>182</v>
      </c>
      <c r="D54" s="327" t="s">
        <v>183</v>
      </c>
      <c r="E54" s="328"/>
      <c r="F54" s="328"/>
      <c r="G54" s="329"/>
      <c r="H54" s="327" t="s">
        <v>149</v>
      </c>
      <c r="I54" s="328"/>
      <c r="J54" s="328"/>
      <c r="K54" s="329"/>
      <c r="L54" s="327" t="s">
        <v>149</v>
      </c>
      <c r="M54" s="328"/>
      <c r="N54" s="328"/>
      <c r="O54" s="329"/>
      <c r="P54" s="327" t="s">
        <v>149</v>
      </c>
      <c r="Q54" s="328"/>
      <c r="R54" s="328"/>
      <c r="S54" s="329"/>
      <c r="T54" s="327" t="s">
        <v>183</v>
      </c>
      <c r="U54" s="328"/>
      <c r="V54" s="328"/>
      <c r="W54" s="329"/>
      <c r="X54" s="81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 ht="19.899999999999999" hidden="1" customHeight="1" x14ac:dyDescent="0.3">
      <c r="B55" s="125"/>
      <c r="C55" s="15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16"/>
      <c r="Y55" s="116"/>
      <c r="Z55" s="116"/>
      <c r="AA55" s="116"/>
      <c r="AB55" s="116" t="s">
        <v>194</v>
      </c>
      <c r="AC55" s="116"/>
      <c r="AD55" s="116"/>
      <c r="AE55" s="116"/>
      <c r="AF55" s="116"/>
      <c r="AG55" s="109"/>
      <c r="AH55" s="109"/>
      <c r="AI55" s="109"/>
      <c r="AJ55" s="109"/>
    </row>
    <row r="56" spans="2:36" ht="19.899999999999999" customHeight="1" x14ac:dyDescent="0.3">
      <c r="B56" s="74"/>
      <c r="C56" s="74"/>
    </row>
    <row r="57" spans="2:36" ht="19.899999999999999" customHeight="1" thickBot="1" x14ac:dyDescent="0.35">
      <c r="B57" s="74"/>
      <c r="C57" s="74"/>
    </row>
    <row r="58" spans="2:36" s="75" customFormat="1" ht="19.899999999999999" customHeight="1" x14ac:dyDescent="0.3">
      <c r="B58" s="211">
        <f ca="1">DATE(CalendarYear,5,1)</f>
        <v>46143</v>
      </c>
      <c r="C58" s="77"/>
      <c r="D58" s="213" t="s">
        <v>5</v>
      </c>
      <c r="E58" s="214"/>
      <c r="F58" s="214"/>
      <c r="G58" s="214"/>
      <c r="H58" s="213" t="s">
        <v>6</v>
      </c>
      <c r="I58" s="214"/>
      <c r="J58" s="214"/>
      <c r="K58" s="215"/>
      <c r="L58" s="213" t="s">
        <v>7</v>
      </c>
      <c r="M58" s="214"/>
      <c r="N58" s="214"/>
      <c r="O58" s="215"/>
      <c r="P58" s="213" t="s">
        <v>8</v>
      </c>
      <c r="Q58" s="214"/>
      <c r="R58" s="214"/>
      <c r="S58" s="215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11"/>
    </row>
    <row r="59" spans="2:36" s="75" customFormat="1" ht="19.899999999999999" customHeight="1" x14ac:dyDescent="0.3">
      <c r="B59" s="212"/>
      <c r="C59" s="78"/>
      <c r="D59" s="318" t="s">
        <v>195</v>
      </c>
      <c r="E59" s="319"/>
      <c r="F59" s="319"/>
      <c r="G59" s="320"/>
      <c r="H59" s="318" t="s">
        <v>46</v>
      </c>
      <c r="I59" s="319"/>
      <c r="J59" s="319"/>
      <c r="K59" s="321"/>
      <c r="L59" s="318" t="s">
        <v>47</v>
      </c>
      <c r="M59" s="319"/>
      <c r="N59" s="319"/>
      <c r="O59" s="321"/>
      <c r="P59" s="318" t="s">
        <v>48</v>
      </c>
      <c r="Q59" s="319"/>
      <c r="R59" s="319"/>
      <c r="S59" s="321"/>
      <c r="T59" s="10"/>
      <c r="U59" s="10"/>
      <c r="V59" s="10"/>
      <c r="W59" s="161" t="s">
        <v>196</v>
      </c>
      <c r="X59" s="161" t="s">
        <v>197</v>
      </c>
      <c r="Y59" s="161" t="s">
        <v>198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2"/>
    </row>
    <row r="60" spans="2:36" ht="19.899999999999999" customHeight="1" x14ac:dyDescent="0.3">
      <c r="B60" s="83" t="s">
        <v>181</v>
      </c>
      <c r="C60" s="101" t="s">
        <v>182</v>
      </c>
      <c r="D60" s="327" t="s">
        <v>183</v>
      </c>
      <c r="E60" s="328"/>
      <c r="F60" s="328"/>
      <c r="G60" s="329"/>
      <c r="H60" s="327" t="s">
        <v>183</v>
      </c>
      <c r="I60" s="328"/>
      <c r="J60" s="328"/>
      <c r="K60" s="329"/>
      <c r="L60" s="327" t="s">
        <v>183</v>
      </c>
      <c r="M60" s="328"/>
      <c r="N60" s="328"/>
      <c r="O60" s="329"/>
      <c r="P60" s="327" t="s">
        <v>183</v>
      </c>
      <c r="Q60" s="328"/>
      <c r="R60" s="328"/>
      <c r="S60" s="329"/>
      <c r="T60" s="162"/>
      <c r="U60" s="162"/>
      <c r="V60" s="162"/>
      <c r="W60" s="173">
        <v>4</v>
      </c>
      <c r="X60" s="173">
        <v>0</v>
      </c>
      <c r="Y60" s="173">
        <f t="shared" ref="Y60:Y68" si="1">4-X60</f>
        <v>4</v>
      </c>
      <c r="Z60" s="172"/>
      <c r="AA60" s="172"/>
      <c r="AB60" s="172"/>
      <c r="AC60" s="172"/>
      <c r="AD60" s="172"/>
      <c r="AE60" s="172"/>
      <c r="AF60" s="172"/>
      <c r="AG60" s="172"/>
      <c r="AH60" s="171" t="str">
        <f t="shared" ref="AH60:AJ60" ca="1" si="2">IF(OR(NOT(ISNUMBER(AH58)),AH58&lt;Job1_StartDate),"",IF(MID(Job1_Pattern,MOD(AH58-Job1_StartDate,LEN(Job1_Pattern))+1,1)=Job1_Shift1_Code,1,IF(MID(Job1_Pattern,MOD(AH58-Job1_StartDate,LEN(Job1_Pattern))+1,1)=Job1_Shift2_Code,2,IF(MID(Job1_Pattern,MOD(AH58-Job1_StartDate,LEN(Job1_Pattern))+1,1)=Job1_Shift3_Code,3,""))))</f>
        <v/>
      </c>
      <c r="AI60" s="171" t="str">
        <f t="shared" ca="1" si="2"/>
        <v/>
      </c>
      <c r="AJ60" s="171" t="str">
        <f t="shared" ca="1" si="2"/>
        <v/>
      </c>
    </row>
    <row r="61" spans="2:36" ht="19.899999999999999" customHeight="1" x14ac:dyDescent="0.3">
      <c r="B61" s="84" t="s">
        <v>184</v>
      </c>
      <c r="C61" s="102" t="s">
        <v>28</v>
      </c>
      <c r="D61" s="327" t="s">
        <v>183</v>
      </c>
      <c r="E61" s="328"/>
      <c r="F61" s="328"/>
      <c r="G61" s="329"/>
      <c r="H61" s="327" t="s">
        <v>183</v>
      </c>
      <c r="I61" s="328"/>
      <c r="J61" s="328"/>
      <c r="K61" s="329"/>
      <c r="L61" s="327" t="s">
        <v>183</v>
      </c>
      <c r="M61" s="328"/>
      <c r="N61" s="328"/>
      <c r="O61" s="329"/>
      <c r="P61" s="327" t="s">
        <v>183</v>
      </c>
      <c r="Q61" s="328"/>
      <c r="R61" s="328"/>
      <c r="S61" s="329"/>
      <c r="T61" s="162"/>
      <c r="U61" s="162"/>
      <c r="V61" s="162"/>
      <c r="W61" s="173">
        <v>4</v>
      </c>
      <c r="X61" s="173">
        <v>0</v>
      </c>
      <c r="Y61" s="173">
        <f t="shared" si="1"/>
        <v>4</v>
      </c>
      <c r="Z61" s="171" t="str">
        <f t="shared" ref="Z61:AJ61" ca="1" si="3">IF(OR(NOT(ISNUMBER(Z58)),Z58&lt;Job2_StartDate),"",IF(MID(Job2_Pattern,MOD(Z58-Job2_StartDate,LEN(Job2_Pattern))+1,1)=Job2_Shift1_Code,1,IF(MID(Job2_Pattern,MOD(Z58-Job2_StartDate,LEN(Job2_Pattern))+1,1)=Job2_Shift2_Code,2,IF(MID(Job2_Pattern,MOD(Z58-Job2_StartDate,LEN(Job2_Pattern))+1,1)=Job2_Shift3_Code,3,""))))</f>
        <v/>
      </c>
      <c r="AA61" s="171" t="str">
        <f t="shared" ca="1" si="3"/>
        <v/>
      </c>
      <c r="AB61" s="171" t="str">
        <f t="shared" ca="1" si="3"/>
        <v/>
      </c>
      <c r="AC61" s="171" t="str">
        <f t="shared" ca="1" si="3"/>
        <v/>
      </c>
      <c r="AD61" s="171" t="str">
        <f t="shared" ca="1" si="3"/>
        <v/>
      </c>
      <c r="AE61" s="171" t="str">
        <f t="shared" ca="1" si="3"/>
        <v/>
      </c>
      <c r="AF61" s="171" t="str">
        <f t="shared" ca="1" si="3"/>
        <v/>
      </c>
      <c r="AG61" s="171" t="str">
        <f t="shared" ca="1" si="3"/>
        <v/>
      </c>
      <c r="AH61" s="171" t="str">
        <f t="shared" ca="1" si="3"/>
        <v/>
      </c>
      <c r="AI61" s="171" t="str">
        <f t="shared" ca="1" si="3"/>
        <v/>
      </c>
      <c r="AJ61" s="171" t="str">
        <f t="shared" ca="1" si="3"/>
        <v/>
      </c>
    </row>
    <row r="62" spans="2:36" ht="19.899999999999999" customHeight="1" x14ac:dyDescent="0.3">
      <c r="B62" s="84" t="s">
        <v>185</v>
      </c>
      <c r="C62" s="102" t="s">
        <v>26</v>
      </c>
      <c r="D62" s="327"/>
      <c r="E62" s="328"/>
      <c r="F62" s="328"/>
      <c r="G62" s="329"/>
      <c r="H62" s="327" t="s">
        <v>183</v>
      </c>
      <c r="I62" s="328"/>
      <c r="J62" s="328"/>
      <c r="K62" s="329"/>
      <c r="L62" s="327" t="s">
        <v>149</v>
      </c>
      <c r="M62" s="328"/>
      <c r="N62" s="328"/>
      <c r="O62" s="329"/>
      <c r="P62" s="327" t="s">
        <v>183</v>
      </c>
      <c r="Q62" s="328"/>
      <c r="R62" s="328"/>
      <c r="S62" s="329"/>
      <c r="T62" s="171" t="str">
        <f t="shared" ref="T62:AJ62" ca="1" si="4">IF(OR(NOT(ISNUMBER(T58)),T58&lt;Job3_StartDate),"",IF(MID(Job3_Pattern,MOD(T58-Job3_StartDate,LEN(Job3_Pattern))+1,1)=Job3_Shift1_Code,1,IF(MID(Job3_Pattern,MOD(T58-Job3_StartDate,LEN(Job3_Pattern))+1,1)=Job3_Shift2_Code,2,IF(MID(Job3_Pattern,MOD(T58-Job3_StartDate,LEN(Job3_Pattern))+1,1)=Job3_Shift3_Code,3,""))))</f>
        <v/>
      </c>
      <c r="U62" s="171" t="str">
        <f t="shared" ca="1" si="4"/>
        <v/>
      </c>
      <c r="V62" s="171" t="str">
        <f t="shared" ca="1" si="4"/>
        <v/>
      </c>
      <c r="W62" s="173">
        <v>3</v>
      </c>
      <c r="X62" s="173">
        <v>0</v>
      </c>
      <c r="Y62" s="173">
        <f t="shared" si="1"/>
        <v>4</v>
      </c>
      <c r="Z62" s="171" t="str">
        <f t="shared" ca="1" si="4"/>
        <v/>
      </c>
      <c r="AA62" s="171" t="str">
        <f t="shared" ca="1" si="4"/>
        <v/>
      </c>
      <c r="AB62" s="171" t="str">
        <f t="shared" ca="1" si="4"/>
        <v/>
      </c>
      <c r="AC62" s="171" t="str">
        <f t="shared" ca="1" si="4"/>
        <v/>
      </c>
      <c r="AD62" s="171" t="str">
        <f t="shared" ca="1" si="4"/>
        <v/>
      </c>
      <c r="AE62" s="171" t="str">
        <f t="shared" ca="1" si="4"/>
        <v/>
      </c>
      <c r="AF62" s="171" t="str">
        <f t="shared" ca="1" si="4"/>
        <v/>
      </c>
      <c r="AG62" s="171" t="str">
        <f t="shared" ca="1" si="4"/>
        <v/>
      </c>
      <c r="AH62" s="171" t="str">
        <f t="shared" ca="1" si="4"/>
        <v/>
      </c>
      <c r="AI62" s="171" t="str">
        <f t="shared" ca="1" si="4"/>
        <v/>
      </c>
      <c r="AJ62" s="171" t="str">
        <f t="shared" ca="1" si="4"/>
        <v/>
      </c>
    </row>
    <row r="63" spans="2:36" ht="19.899999999999999" customHeight="1" x14ac:dyDescent="0.3">
      <c r="B63" s="84" t="s">
        <v>186</v>
      </c>
      <c r="C63" s="102" t="s">
        <v>24</v>
      </c>
      <c r="D63" s="327" t="s">
        <v>183</v>
      </c>
      <c r="E63" s="328"/>
      <c r="F63" s="328"/>
      <c r="G63" s="329"/>
      <c r="H63" s="327" t="s">
        <v>183</v>
      </c>
      <c r="I63" s="328"/>
      <c r="J63" s="328"/>
      <c r="K63" s="329"/>
      <c r="L63" s="327" t="s">
        <v>183</v>
      </c>
      <c r="M63" s="328"/>
      <c r="N63" s="328"/>
      <c r="O63" s="329"/>
      <c r="P63" s="327" t="s">
        <v>199</v>
      </c>
      <c r="Q63" s="328"/>
      <c r="R63" s="328"/>
      <c r="S63" s="329"/>
      <c r="W63" s="173">
        <v>2</v>
      </c>
      <c r="X63" s="173">
        <v>1</v>
      </c>
      <c r="Y63" s="173">
        <f t="shared" si="1"/>
        <v>3</v>
      </c>
    </row>
    <row r="64" spans="2:36" ht="19.899999999999999" customHeight="1" x14ac:dyDescent="0.3">
      <c r="B64" s="84" t="s">
        <v>187</v>
      </c>
      <c r="C64" s="102" t="s">
        <v>22</v>
      </c>
      <c r="D64" s="327" t="s">
        <v>183</v>
      </c>
      <c r="E64" s="328"/>
      <c r="F64" s="328"/>
      <c r="G64" s="329"/>
      <c r="H64" s="327" t="s">
        <v>149</v>
      </c>
      <c r="I64" s="328"/>
      <c r="J64" s="328"/>
      <c r="K64" s="329"/>
      <c r="L64" s="327" t="s">
        <v>183</v>
      </c>
      <c r="M64" s="328"/>
      <c r="N64" s="328"/>
      <c r="O64" s="329"/>
      <c r="P64" s="327" t="s">
        <v>183</v>
      </c>
      <c r="Q64" s="328"/>
      <c r="R64" s="328"/>
      <c r="S64" s="329"/>
      <c r="W64" s="173">
        <v>4</v>
      </c>
      <c r="X64" s="173">
        <v>0</v>
      </c>
      <c r="Y64" s="173">
        <f t="shared" si="1"/>
        <v>4</v>
      </c>
    </row>
    <row r="65" spans="2:36" ht="19.899999999999999" customHeight="1" x14ac:dyDescent="0.3">
      <c r="B65" s="84" t="s">
        <v>188</v>
      </c>
      <c r="C65" s="102" t="s">
        <v>182</v>
      </c>
      <c r="D65" s="327"/>
      <c r="E65" s="328"/>
      <c r="F65" s="328"/>
      <c r="G65" s="329"/>
      <c r="H65" s="327" t="s">
        <v>183</v>
      </c>
      <c r="I65" s="328"/>
      <c r="J65" s="328"/>
      <c r="K65" s="329"/>
      <c r="L65" s="327" t="s">
        <v>183</v>
      </c>
      <c r="M65" s="328"/>
      <c r="N65" s="328"/>
      <c r="O65" s="329"/>
      <c r="P65" s="327" t="s">
        <v>183</v>
      </c>
      <c r="Q65" s="328"/>
      <c r="R65" s="328"/>
      <c r="S65" s="329"/>
      <c r="W65" s="173">
        <v>2</v>
      </c>
      <c r="X65" s="173">
        <v>0</v>
      </c>
      <c r="Y65" s="173">
        <f t="shared" si="1"/>
        <v>4</v>
      </c>
    </row>
    <row r="66" spans="2:36" ht="19.899999999999999" customHeight="1" x14ac:dyDescent="0.3">
      <c r="B66" s="85" t="s">
        <v>189</v>
      </c>
      <c r="C66" s="102" t="s">
        <v>182</v>
      </c>
      <c r="D66" s="327" t="s">
        <v>183</v>
      </c>
      <c r="E66" s="328"/>
      <c r="F66" s="328"/>
      <c r="G66" s="329"/>
      <c r="H66" s="327" t="s">
        <v>183</v>
      </c>
      <c r="I66" s="328"/>
      <c r="J66" s="328"/>
      <c r="K66" s="329"/>
      <c r="L66" s="327" t="s">
        <v>183</v>
      </c>
      <c r="M66" s="328"/>
      <c r="N66" s="328"/>
      <c r="O66" s="329"/>
      <c r="P66" s="327" t="s">
        <v>183</v>
      </c>
      <c r="Q66" s="328"/>
      <c r="R66" s="328"/>
      <c r="S66" s="329"/>
      <c r="W66" s="173">
        <v>4</v>
      </c>
      <c r="X66" s="173">
        <v>0</v>
      </c>
      <c r="Y66" s="173">
        <f t="shared" si="1"/>
        <v>4</v>
      </c>
    </row>
    <row r="67" spans="2:36" ht="19.899999999999999" customHeight="1" x14ac:dyDescent="0.3">
      <c r="B67" s="85" t="s">
        <v>190</v>
      </c>
      <c r="C67" s="115" t="s">
        <v>182</v>
      </c>
      <c r="D67" s="327" t="s">
        <v>199</v>
      </c>
      <c r="E67" s="328"/>
      <c r="F67" s="328"/>
      <c r="G67" s="329"/>
      <c r="H67" s="327" t="s">
        <v>199</v>
      </c>
      <c r="I67" s="328"/>
      <c r="J67" s="328"/>
      <c r="K67" s="329"/>
      <c r="L67" s="327" t="s">
        <v>183</v>
      </c>
      <c r="M67" s="328"/>
      <c r="N67" s="328"/>
      <c r="O67" s="329"/>
      <c r="P67" s="327" t="s">
        <v>183</v>
      </c>
      <c r="Q67" s="328"/>
      <c r="R67" s="328"/>
      <c r="S67" s="329"/>
      <c r="W67" s="173">
        <v>2</v>
      </c>
      <c r="X67" s="173">
        <v>2</v>
      </c>
      <c r="Y67" s="173">
        <f t="shared" si="1"/>
        <v>2</v>
      </c>
    </row>
    <row r="68" spans="2:36" ht="19.899999999999999" customHeight="1" x14ac:dyDescent="0.3">
      <c r="B68" s="85" t="s">
        <v>191</v>
      </c>
      <c r="C68" s="115" t="s">
        <v>182</v>
      </c>
      <c r="D68" s="327" t="s">
        <v>199</v>
      </c>
      <c r="E68" s="328"/>
      <c r="F68" s="328"/>
      <c r="G68" s="329"/>
      <c r="H68" s="327" t="s">
        <v>199</v>
      </c>
      <c r="I68" s="328"/>
      <c r="J68" s="328"/>
      <c r="K68" s="329"/>
      <c r="L68" s="327" t="s">
        <v>199</v>
      </c>
      <c r="M68" s="328"/>
      <c r="N68" s="328"/>
      <c r="O68" s="329"/>
      <c r="P68" s="327" t="s">
        <v>149</v>
      </c>
      <c r="Q68" s="328"/>
      <c r="R68" s="328"/>
      <c r="S68" s="329"/>
      <c r="W68" s="173">
        <v>1</v>
      </c>
      <c r="X68" s="173">
        <v>3</v>
      </c>
      <c r="Y68" s="173">
        <f t="shared" si="1"/>
        <v>1</v>
      </c>
    </row>
    <row r="69" spans="2:36" ht="19.899999999999999" customHeight="1" thickBot="1" x14ac:dyDescent="0.35">
      <c r="B69" s="74"/>
      <c r="C69" s="74"/>
      <c r="W69" s="136">
        <f>SUM(W60:W68)</f>
        <v>26</v>
      </c>
      <c r="X69" s="136">
        <f t="shared" ref="X69" si="5">SUM(X60:X68)</f>
        <v>6</v>
      </c>
      <c r="Y69" s="136">
        <f>SUM(Y60:Y68)</f>
        <v>30</v>
      </c>
      <c r="Z69" s="174">
        <f>W69/Y69</f>
        <v>0.8666666666666667</v>
      </c>
    </row>
    <row r="70" spans="2:36" s="75" customFormat="1" ht="19.899999999999999" customHeight="1" x14ac:dyDescent="0.3">
      <c r="B70" s="211">
        <v>46174</v>
      </c>
      <c r="C70" s="77"/>
      <c r="D70" s="213" t="s">
        <v>5</v>
      </c>
      <c r="E70" s="214"/>
      <c r="F70" s="214"/>
      <c r="G70" s="214"/>
      <c r="H70" s="330" t="s">
        <v>6</v>
      </c>
      <c r="I70" s="331"/>
      <c r="J70" s="331"/>
      <c r="K70" s="331"/>
      <c r="L70" s="330" t="s">
        <v>7</v>
      </c>
      <c r="M70" s="331"/>
      <c r="N70" s="331"/>
      <c r="O70" s="331"/>
      <c r="P70" s="330" t="s">
        <v>8</v>
      </c>
      <c r="Q70" s="331"/>
      <c r="R70" s="331"/>
      <c r="S70" s="331"/>
      <c r="T70" s="9"/>
      <c r="U70" s="9"/>
      <c r="V70" s="9"/>
      <c r="W70" s="184" t="s">
        <v>200</v>
      </c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11"/>
    </row>
    <row r="71" spans="2:36" s="75" customFormat="1" ht="19.899999999999999" customHeight="1" x14ac:dyDescent="0.3">
      <c r="B71" s="212"/>
      <c r="C71" s="78"/>
      <c r="D71" s="332" t="s">
        <v>52</v>
      </c>
      <c r="E71" s="319"/>
      <c r="F71" s="319"/>
      <c r="G71" s="319"/>
      <c r="H71" s="332" t="s">
        <v>53</v>
      </c>
      <c r="I71" s="319"/>
      <c r="J71" s="319"/>
      <c r="K71" s="319"/>
      <c r="L71" s="332" t="s">
        <v>54</v>
      </c>
      <c r="M71" s="319"/>
      <c r="N71" s="319"/>
      <c r="O71" s="319"/>
      <c r="P71" s="332" t="s">
        <v>55</v>
      </c>
      <c r="Q71" s="319"/>
      <c r="R71" s="319"/>
      <c r="S71" s="319"/>
      <c r="T71" s="10"/>
      <c r="U71" s="10"/>
      <c r="V71" s="10"/>
      <c r="W71" s="161" t="s">
        <v>196</v>
      </c>
      <c r="X71" s="161" t="s">
        <v>197</v>
      </c>
      <c r="Y71" s="161" t="s">
        <v>198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2"/>
    </row>
    <row r="72" spans="2:36" ht="19.899999999999999" customHeight="1" x14ac:dyDescent="0.3">
      <c r="B72" s="83" t="s">
        <v>181</v>
      </c>
      <c r="C72" s="101" t="s">
        <v>182</v>
      </c>
      <c r="D72" s="324">
        <v>1</v>
      </c>
      <c r="E72" s="325"/>
      <c r="F72" s="325"/>
      <c r="G72" s="326"/>
      <c r="H72" s="324">
        <v>1</v>
      </c>
      <c r="I72" s="325"/>
      <c r="J72" s="325"/>
      <c r="K72" s="326"/>
      <c r="L72" s="324">
        <v>2</v>
      </c>
      <c r="M72" s="325"/>
      <c r="N72" s="325"/>
      <c r="O72" s="326"/>
      <c r="P72" s="324">
        <v>1</v>
      </c>
      <c r="Q72" s="325"/>
      <c r="R72" s="325"/>
      <c r="S72" s="326"/>
      <c r="T72" s="180"/>
      <c r="U72" s="181"/>
      <c r="V72" s="181"/>
      <c r="W72" s="135">
        <f>SUM(D72:S72)-X72</f>
        <v>5</v>
      </c>
      <c r="X72" s="173"/>
      <c r="Y72" s="173">
        <f t="shared" ref="Y72:Y80" si="6">4-X72</f>
        <v>4</v>
      </c>
      <c r="Z72" s="172"/>
      <c r="AA72" s="182"/>
      <c r="AB72" s="182"/>
      <c r="AC72" s="182"/>
      <c r="AD72" s="182"/>
      <c r="AE72" s="182"/>
      <c r="AF72" s="182"/>
      <c r="AG72" s="183"/>
      <c r="AH72" s="6" t="str">
        <f t="shared" ref="AH72:AJ72" ca="1" si="7">IF(OR(NOT(ISNUMBER(AH70)),AH70&lt;Job1_StartDate),"",IF(MID(Job1_Pattern,MOD(AH70-Job1_StartDate,LEN(Job1_Pattern))+1,1)=Job1_Shift1_Code,1,IF(MID(Job1_Pattern,MOD(AH70-Job1_StartDate,LEN(Job1_Pattern))+1,1)=Job1_Shift2_Code,2,IF(MID(Job1_Pattern,MOD(AH70-Job1_StartDate,LEN(Job1_Pattern))+1,1)=Job1_Shift3_Code,3,""))))</f>
        <v/>
      </c>
      <c r="AI72" s="6" t="str">
        <f t="shared" ca="1" si="7"/>
        <v/>
      </c>
      <c r="AJ72" s="6" t="str">
        <f t="shared" ca="1" si="7"/>
        <v/>
      </c>
    </row>
    <row r="73" spans="2:36" ht="19.899999999999999" customHeight="1" x14ac:dyDescent="0.3">
      <c r="B73" s="84" t="s">
        <v>184</v>
      </c>
      <c r="C73" s="102" t="s">
        <v>28</v>
      </c>
      <c r="D73" s="324">
        <v>1</v>
      </c>
      <c r="E73" s="325"/>
      <c r="F73" s="325"/>
      <c r="G73" s="326"/>
      <c r="H73" s="324">
        <v>1</v>
      </c>
      <c r="I73" s="325"/>
      <c r="J73" s="325"/>
      <c r="K73" s="326"/>
      <c r="L73" s="324">
        <v>1</v>
      </c>
      <c r="M73" s="325"/>
      <c r="N73" s="325"/>
      <c r="O73" s="326"/>
      <c r="P73" s="324">
        <v>1</v>
      </c>
      <c r="Q73" s="325"/>
      <c r="R73" s="325"/>
      <c r="S73" s="326"/>
      <c r="T73" s="180"/>
      <c r="U73" s="181"/>
      <c r="V73" s="181"/>
      <c r="W73" s="135">
        <f t="shared" ref="W73:W80" si="8">COUNTA(D73:S73)-X73</f>
        <v>4</v>
      </c>
      <c r="X73" s="173"/>
      <c r="Y73" s="173">
        <f t="shared" si="6"/>
        <v>4</v>
      </c>
      <c r="Z73" s="171" t="str">
        <f t="shared" ref="Z73" ca="1" si="9">IF(OR(NOT(ISNUMBER(Z70)),Z70&lt;Job2_StartDate),"",IF(MID(Job2_Pattern,MOD(Z70-Job2_StartDate,LEN(Job2_Pattern))+1,1)=Job2_Shift1_Code,1,IF(MID(Job2_Pattern,MOD(Z70-Job2_StartDate,LEN(Job2_Pattern))+1,1)=Job2_Shift2_Code,2,IF(MID(Job2_Pattern,MOD(Z70-Job2_StartDate,LEN(Job2_Pattern))+1,1)=Job2_Shift3_Code,3,""))))</f>
        <v/>
      </c>
      <c r="AA73" s="7" t="str">
        <f t="shared" ref="AA73:AJ73" ca="1" si="10">IF(OR(NOT(ISNUMBER(AA70)),AA70&lt;Job2_StartDate),"",IF(MID(Job2_Pattern,MOD(AA70-Job2_StartDate,LEN(Job2_Pattern))+1,1)=Job2_Shift1_Code,1,IF(MID(Job2_Pattern,MOD(AA70-Job2_StartDate,LEN(Job2_Pattern))+1,1)=Job2_Shift2_Code,2,IF(MID(Job2_Pattern,MOD(AA70-Job2_StartDate,LEN(Job2_Pattern))+1,1)=Job2_Shift3_Code,3,""))))</f>
        <v/>
      </c>
      <c r="AB73" s="7" t="str">
        <f t="shared" ca="1" si="10"/>
        <v/>
      </c>
      <c r="AC73" s="7" t="str">
        <f t="shared" ca="1" si="10"/>
        <v/>
      </c>
      <c r="AD73" s="7" t="str">
        <f t="shared" ca="1" si="10"/>
        <v/>
      </c>
      <c r="AE73" s="7" t="str">
        <f t="shared" ca="1" si="10"/>
        <v/>
      </c>
      <c r="AF73" s="7" t="str">
        <f t="shared" ca="1" si="10"/>
        <v/>
      </c>
      <c r="AG73" s="7" t="str">
        <f t="shared" ca="1" si="10"/>
        <v/>
      </c>
      <c r="AH73" s="7" t="str">
        <f t="shared" ca="1" si="10"/>
        <v/>
      </c>
      <c r="AI73" s="7" t="str">
        <f t="shared" ca="1" si="10"/>
        <v/>
      </c>
      <c r="AJ73" s="7" t="str">
        <f t="shared" ca="1" si="10"/>
        <v/>
      </c>
    </row>
    <row r="74" spans="2:36" ht="19.899999999999999" customHeight="1" x14ac:dyDescent="0.3">
      <c r="B74" s="84" t="s">
        <v>185</v>
      </c>
      <c r="C74" s="102" t="s">
        <v>26</v>
      </c>
      <c r="D74" s="324">
        <v>1</v>
      </c>
      <c r="E74" s="325"/>
      <c r="F74" s="325"/>
      <c r="G74" s="326"/>
      <c r="H74" s="327"/>
      <c r="I74" s="328"/>
      <c r="J74" s="328"/>
      <c r="K74" s="329"/>
      <c r="L74" s="324">
        <v>1</v>
      </c>
      <c r="M74" s="325"/>
      <c r="N74" s="325"/>
      <c r="O74" s="326"/>
      <c r="P74" s="324">
        <v>1</v>
      </c>
      <c r="Q74" s="325"/>
      <c r="R74" s="325"/>
      <c r="S74" s="326"/>
      <c r="T74" s="7" t="str">
        <f t="shared" ref="T74:AJ74" ca="1" si="11">IF(OR(NOT(ISNUMBER(T70)),T70&lt;Job3_StartDate),"",IF(MID(Job3_Pattern,MOD(T70-Job3_StartDate,LEN(Job3_Pattern))+1,1)=Job3_Shift1_Code,1,IF(MID(Job3_Pattern,MOD(T70-Job3_StartDate,LEN(Job3_Pattern))+1,1)=Job3_Shift2_Code,2,IF(MID(Job3_Pattern,MOD(T70-Job3_StartDate,LEN(Job3_Pattern))+1,1)=Job3_Shift3_Code,3,""))))</f>
        <v/>
      </c>
      <c r="U74" s="7" t="str">
        <f t="shared" ca="1" si="11"/>
        <v/>
      </c>
      <c r="V74" s="7" t="str">
        <f t="shared" ca="1" si="11"/>
        <v/>
      </c>
      <c r="W74" s="135">
        <f t="shared" si="8"/>
        <v>3</v>
      </c>
      <c r="X74" s="173"/>
      <c r="Y74" s="173">
        <f t="shared" si="6"/>
        <v>4</v>
      </c>
      <c r="Z74" s="171" t="str">
        <f t="shared" ref="Z74" ca="1" si="12">IF(OR(NOT(ISNUMBER(Z70)),Z70&lt;Job3_StartDate),"",IF(MID(Job3_Pattern,MOD(Z70-Job3_StartDate,LEN(Job3_Pattern))+1,1)=Job3_Shift1_Code,1,IF(MID(Job3_Pattern,MOD(Z70-Job3_StartDate,LEN(Job3_Pattern))+1,1)=Job3_Shift2_Code,2,IF(MID(Job3_Pattern,MOD(Z70-Job3_StartDate,LEN(Job3_Pattern))+1,1)=Job3_Shift3_Code,3,""))))</f>
        <v/>
      </c>
      <c r="AA74" s="7" t="str">
        <f t="shared" ca="1" si="11"/>
        <v/>
      </c>
      <c r="AB74" s="7" t="str">
        <f t="shared" ca="1" si="11"/>
        <v/>
      </c>
      <c r="AC74" s="7" t="str">
        <f t="shared" ca="1" si="11"/>
        <v/>
      </c>
      <c r="AD74" s="7" t="str">
        <f t="shared" ca="1" si="11"/>
        <v/>
      </c>
      <c r="AE74" s="7" t="str">
        <f t="shared" ca="1" si="11"/>
        <v/>
      </c>
      <c r="AF74" s="7" t="str">
        <f t="shared" ca="1" si="11"/>
        <v/>
      </c>
      <c r="AG74" s="7" t="str">
        <f t="shared" ca="1" si="11"/>
        <v/>
      </c>
      <c r="AH74" s="7" t="str">
        <f t="shared" ca="1" si="11"/>
        <v/>
      </c>
      <c r="AI74" s="7" t="str">
        <f t="shared" ca="1" si="11"/>
        <v/>
      </c>
      <c r="AJ74" s="7" t="str">
        <f t="shared" ca="1" si="11"/>
        <v/>
      </c>
    </row>
    <row r="75" spans="2:36" ht="19.899999999999999" customHeight="1" x14ac:dyDescent="0.3">
      <c r="B75" s="84" t="s">
        <v>186</v>
      </c>
      <c r="C75" s="102" t="s">
        <v>24</v>
      </c>
      <c r="D75" s="324">
        <v>1</v>
      </c>
      <c r="E75" s="325"/>
      <c r="F75" s="325"/>
      <c r="G75" s="326"/>
      <c r="H75" s="324">
        <v>1</v>
      </c>
      <c r="I75" s="325"/>
      <c r="J75" s="325"/>
      <c r="K75" s="326"/>
      <c r="L75" s="324">
        <v>1</v>
      </c>
      <c r="M75" s="325"/>
      <c r="N75" s="325"/>
      <c r="O75" s="326"/>
      <c r="P75" s="324">
        <v>10</v>
      </c>
      <c r="Q75" s="325"/>
      <c r="R75" s="325"/>
      <c r="S75" s="326"/>
      <c r="W75" s="135">
        <f>SUM(D75:S75)-X75</f>
        <v>13</v>
      </c>
      <c r="X75" s="173"/>
      <c r="Y75" s="173">
        <f t="shared" si="6"/>
        <v>4</v>
      </c>
    </row>
    <row r="76" spans="2:36" ht="19.899999999999999" customHeight="1" x14ac:dyDescent="0.3">
      <c r="B76" s="84" t="s">
        <v>187</v>
      </c>
      <c r="C76" s="102" t="s">
        <v>22</v>
      </c>
      <c r="D76" s="324">
        <v>1</v>
      </c>
      <c r="E76" s="325"/>
      <c r="F76" s="325"/>
      <c r="G76" s="326"/>
      <c r="H76" s="324">
        <v>1</v>
      </c>
      <c r="I76" s="325"/>
      <c r="J76" s="325"/>
      <c r="K76" s="326"/>
      <c r="L76" s="324">
        <v>1</v>
      </c>
      <c r="M76" s="325"/>
      <c r="N76" s="325"/>
      <c r="O76" s="326"/>
      <c r="P76" s="327"/>
      <c r="Q76" s="328"/>
      <c r="R76" s="328"/>
      <c r="S76" s="329"/>
      <c r="W76" s="135">
        <f t="shared" si="8"/>
        <v>3</v>
      </c>
      <c r="X76" s="173"/>
      <c r="Y76" s="173">
        <f t="shared" si="6"/>
        <v>4</v>
      </c>
      <c r="AJ76" s="186"/>
    </row>
    <row r="77" spans="2:36" ht="19.899999999999999" customHeight="1" x14ac:dyDescent="0.3">
      <c r="B77" s="84" t="s">
        <v>188</v>
      </c>
      <c r="C77" s="102" t="s">
        <v>182</v>
      </c>
      <c r="D77" s="324">
        <v>1</v>
      </c>
      <c r="E77" s="325"/>
      <c r="F77" s="325"/>
      <c r="G77" s="326"/>
      <c r="H77" s="324">
        <v>1</v>
      </c>
      <c r="I77" s="325"/>
      <c r="J77" s="325"/>
      <c r="K77" s="326"/>
      <c r="L77" s="324">
        <v>1</v>
      </c>
      <c r="M77" s="325"/>
      <c r="N77" s="325"/>
      <c r="O77" s="326"/>
      <c r="P77" s="324">
        <v>1</v>
      </c>
      <c r="Q77" s="325"/>
      <c r="R77" s="325"/>
      <c r="S77" s="326"/>
      <c r="W77" s="135">
        <f t="shared" si="8"/>
        <v>4</v>
      </c>
      <c r="X77" s="173"/>
      <c r="Y77" s="173">
        <f t="shared" si="6"/>
        <v>4</v>
      </c>
    </row>
    <row r="78" spans="2:36" ht="19.899999999999999" customHeight="1" x14ac:dyDescent="0.3">
      <c r="B78" s="85" t="s">
        <v>189</v>
      </c>
      <c r="C78" s="102" t="s">
        <v>182</v>
      </c>
      <c r="D78" s="327"/>
      <c r="E78" s="328"/>
      <c r="F78" s="328"/>
      <c r="G78" s="329"/>
      <c r="H78" s="327"/>
      <c r="I78" s="328"/>
      <c r="J78" s="328"/>
      <c r="K78" s="329"/>
      <c r="L78" s="327"/>
      <c r="M78" s="328"/>
      <c r="N78" s="328"/>
      <c r="O78" s="329"/>
      <c r="P78" s="327"/>
      <c r="Q78" s="328"/>
      <c r="R78" s="328"/>
      <c r="S78" s="329"/>
      <c r="W78" s="135">
        <f t="shared" si="8"/>
        <v>0</v>
      </c>
      <c r="X78" s="173"/>
      <c r="Y78" s="173">
        <f t="shared" si="6"/>
        <v>4</v>
      </c>
    </row>
    <row r="79" spans="2:36" ht="19.899999999999999" customHeight="1" x14ac:dyDescent="0.3">
      <c r="B79" s="85" t="s">
        <v>190</v>
      </c>
      <c r="C79" s="115" t="s">
        <v>182</v>
      </c>
      <c r="D79" s="327"/>
      <c r="E79" s="328"/>
      <c r="F79" s="328"/>
      <c r="G79" s="329"/>
      <c r="H79" s="327"/>
      <c r="I79" s="328"/>
      <c r="J79" s="328"/>
      <c r="K79" s="329"/>
      <c r="L79" s="327"/>
      <c r="M79" s="328"/>
      <c r="N79" s="328"/>
      <c r="O79" s="329"/>
      <c r="P79" s="324">
        <v>1</v>
      </c>
      <c r="Q79" s="325"/>
      <c r="R79" s="325"/>
      <c r="S79" s="326"/>
      <c r="W79" s="135">
        <f t="shared" si="8"/>
        <v>1</v>
      </c>
      <c r="X79" s="173"/>
      <c r="Y79" s="173">
        <f t="shared" si="6"/>
        <v>4</v>
      </c>
    </row>
    <row r="80" spans="2:36" ht="19.899999999999999" customHeight="1" x14ac:dyDescent="0.3">
      <c r="B80" s="85" t="s">
        <v>191</v>
      </c>
      <c r="C80" s="115" t="s">
        <v>182</v>
      </c>
      <c r="D80" s="324">
        <v>1</v>
      </c>
      <c r="E80" s="325"/>
      <c r="F80" s="325"/>
      <c r="G80" s="326"/>
      <c r="H80" s="324">
        <v>1</v>
      </c>
      <c r="I80" s="325"/>
      <c r="J80" s="325"/>
      <c r="K80" s="326"/>
      <c r="L80" s="324">
        <v>1</v>
      </c>
      <c r="M80" s="325"/>
      <c r="N80" s="325"/>
      <c r="O80" s="326"/>
      <c r="P80" s="324">
        <v>1</v>
      </c>
      <c r="Q80" s="325"/>
      <c r="R80" s="325"/>
      <c r="S80" s="326"/>
      <c r="W80" s="135">
        <f t="shared" si="8"/>
        <v>4</v>
      </c>
      <c r="X80" s="173"/>
      <c r="Y80" s="173">
        <f t="shared" si="6"/>
        <v>4</v>
      </c>
    </row>
    <row r="81" spans="2:36" ht="19.899999999999999" customHeight="1" x14ac:dyDescent="0.3">
      <c r="B81" s="74"/>
      <c r="C81" s="74"/>
      <c r="W81" s="136">
        <f>SUM(W72:W80)</f>
        <v>37</v>
      </c>
      <c r="X81" s="136"/>
      <c r="Y81" s="136">
        <f>SUM(Y72:Y80)</f>
        <v>36</v>
      </c>
      <c r="Z81" s="174"/>
      <c r="AJ81" s="186"/>
    </row>
    <row r="82" spans="2:36" ht="19.899999999999999" customHeight="1" x14ac:dyDescent="0.3">
      <c r="B82" s="211">
        <v>46205</v>
      </c>
      <c r="C82" s="77"/>
      <c r="D82" s="213" t="s">
        <v>5</v>
      </c>
      <c r="E82" s="214"/>
      <c r="F82" s="214"/>
      <c r="G82" s="214"/>
      <c r="H82" s="330" t="s">
        <v>6</v>
      </c>
      <c r="I82" s="331"/>
      <c r="J82" s="331"/>
      <c r="K82" s="331"/>
      <c r="L82" s="330" t="s">
        <v>7</v>
      </c>
      <c r="M82" s="331"/>
      <c r="N82" s="331"/>
      <c r="O82" s="331"/>
      <c r="P82" s="330" t="s">
        <v>8</v>
      </c>
      <c r="Q82" s="331"/>
      <c r="R82" s="331"/>
      <c r="S82" s="331"/>
      <c r="T82" s="330" t="s">
        <v>39</v>
      </c>
      <c r="U82" s="331"/>
      <c r="V82" s="331"/>
      <c r="W82" s="331"/>
      <c r="Y82" s="184" t="s">
        <v>200</v>
      </c>
    </row>
    <row r="83" spans="2:36" ht="18.95" customHeight="1" x14ac:dyDescent="0.3">
      <c r="B83" s="212"/>
      <c r="C83" s="78"/>
      <c r="D83" s="332" t="s">
        <v>67</v>
      </c>
      <c r="E83" s="319"/>
      <c r="F83" s="319"/>
      <c r="G83" s="319"/>
      <c r="H83" s="332" t="s">
        <v>68</v>
      </c>
      <c r="I83" s="319"/>
      <c r="J83" s="319"/>
      <c r="K83" s="319"/>
      <c r="L83" s="332" t="s">
        <v>69</v>
      </c>
      <c r="M83" s="319"/>
      <c r="N83" s="319"/>
      <c r="O83" s="319"/>
      <c r="P83" s="332" t="s">
        <v>70</v>
      </c>
      <c r="Q83" s="319"/>
      <c r="R83" s="319"/>
      <c r="S83" s="319"/>
      <c r="T83" s="332" t="s">
        <v>71</v>
      </c>
      <c r="U83" s="319"/>
      <c r="V83" s="319"/>
      <c r="W83" s="319"/>
      <c r="Y83" s="161" t="s">
        <v>196</v>
      </c>
    </row>
    <row r="84" spans="2:36" ht="18.95" customHeight="1" x14ac:dyDescent="0.3">
      <c r="B84" s="83" t="s">
        <v>181</v>
      </c>
      <c r="C84" s="101" t="s">
        <v>182</v>
      </c>
      <c r="D84" s="327">
        <v>2</v>
      </c>
      <c r="E84" s="328"/>
      <c r="F84" s="328"/>
      <c r="G84" s="329"/>
      <c r="H84" s="327"/>
      <c r="I84" s="328"/>
      <c r="J84" s="328"/>
      <c r="K84" s="329"/>
      <c r="L84" s="327">
        <v>2</v>
      </c>
      <c r="M84" s="328"/>
      <c r="N84" s="328"/>
      <c r="O84" s="329"/>
      <c r="P84" s="327"/>
      <c r="Q84" s="328"/>
      <c r="R84" s="328"/>
      <c r="S84" s="329"/>
      <c r="T84" s="327"/>
      <c r="U84" s="328"/>
      <c r="V84" s="328"/>
      <c r="W84" s="329"/>
      <c r="Y84" s="135">
        <f>SUM(D84:W84)-Z84</f>
        <v>4</v>
      </c>
    </row>
    <row r="85" spans="2:36" ht="18.95" customHeight="1" x14ac:dyDescent="0.3">
      <c r="B85" s="84" t="s">
        <v>184</v>
      </c>
      <c r="C85" s="102" t="s">
        <v>28</v>
      </c>
      <c r="D85" s="327">
        <v>1</v>
      </c>
      <c r="E85" s="328"/>
      <c r="F85" s="328"/>
      <c r="G85" s="329"/>
      <c r="H85" s="327">
        <v>1</v>
      </c>
      <c r="I85" s="328"/>
      <c r="J85" s="328"/>
      <c r="K85" s="329"/>
      <c r="L85" s="327"/>
      <c r="M85" s="328"/>
      <c r="N85" s="328"/>
      <c r="O85" s="329"/>
      <c r="P85" s="327"/>
      <c r="Q85" s="328"/>
      <c r="R85" s="328"/>
      <c r="S85" s="329"/>
      <c r="T85" s="327"/>
      <c r="U85" s="328"/>
      <c r="V85" s="328"/>
      <c r="W85" s="329"/>
      <c r="Y85" s="135">
        <f t="shared" ref="Y85:Y92" si="13">SUM(D85:W85)-Z85</f>
        <v>2</v>
      </c>
    </row>
    <row r="86" spans="2:36" ht="18.95" customHeight="1" x14ac:dyDescent="0.3">
      <c r="B86" s="84" t="s">
        <v>185</v>
      </c>
      <c r="C86" s="102" t="s">
        <v>26</v>
      </c>
      <c r="D86" s="327">
        <v>1</v>
      </c>
      <c r="E86" s="328"/>
      <c r="F86" s="328"/>
      <c r="G86" s="329"/>
      <c r="H86" s="327">
        <v>1</v>
      </c>
      <c r="I86" s="328"/>
      <c r="J86" s="328"/>
      <c r="K86" s="329"/>
      <c r="L86" s="327">
        <v>1</v>
      </c>
      <c r="M86" s="328"/>
      <c r="N86" s="328"/>
      <c r="O86" s="329"/>
      <c r="P86" s="327"/>
      <c r="Q86" s="328"/>
      <c r="R86" s="328"/>
      <c r="S86" s="329"/>
      <c r="T86" s="327"/>
      <c r="U86" s="328"/>
      <c r="V86" s="328"/>
      <c r="W86" s="329"/>
      <c r="Y86" s="135">
        <f t="shared" si="13"/>
        <v>3</v>
      </c>
    </row>
    <row r="87" spans="2:36" ht="18.95" customHeight="1" x14ac:dyDescent="0.3">
      <c r="B87" s="84" t="s">
        <v>186</v>
      </c>
      <c r="C87" s="102" t="s">
        <v>24</v>
      </c>
      <c r="D87" s="327">
        <v>1</v>
      </c>
      <c r="E87" s="328"/>
      <c r="F87" s="328"/>
      <c r="G87" s="329"/>
      <c r="H87" s="327">
        <v>4</v>
      </c>
      <c r="I87" s="328"/>
      <c r="J87" s="328"/>
      <c r="K87" s="329"/>
      <c r="L87" s="327">
        <v>2</v>
      </c>
      <c r="M87" s="328"/>
      <c r="N87" s="328"/>
      <c r="O87" s="329"/>
      <c r="P87" s="327"/>
      <c r="Q87" s="328"/>
      <c r="R87" s="328"/>
      <c r="S87" s="329"/>
      <c r="T87" s="327"/>
      <c r="U87" s="328"/>
      <c r="V87" s="328"/>
      <c r="W87" s="329"/>
      <c r="Y87" s="135">
        <f t="shared" si="13"/>
        <v>7</v>
      </c>
    </row>
    <row r="88" spans="2:36" ht="18.95" customHeight="1" x14ac:dyDescent="0.3">
      <c r="B88" s="84" t="s">
        <v>187</v>
      </c>
      <c r="C88" s="102" t="s">
        <v>22</v>
      </c>
      <c r="D88" s="327">
        <v>1</v>
      </c>
      <c r="E88" s="328"/>
      <c r="F88" s="328"/>
      <c r="G88" s="329"/>
      <c r="H88" s="327">
        <v>1</v>
      </c>
      <c r="I88" s="328"/>
      <c r="J88" s="328"/>
      <c r="K88" s="329"/>
      <c r="L88" s="327">
        <v>1</v>
      </c>
      <c r="M88" s="328"/>
      <c r="N88" s="328"/>
      <c r="O88" s="329"/>
      <c r="P88" s="327"/>
      <c r="Q88" s="328"/>
      <c r="R88" s="328"/>
      <c r="S88" s="329"/>
      <c r="T88" s="327"/>
      <c r="U88" s="328"/>
      <c r="V88" s="328"/>
      <c r="W88" s="329"/>
      <c r="Y88" s="135">
        <f t="shared" si="13"/>
        <v>3</v>
      </c>
    </row>
    <row r="89" spans="2:36" ht="18.95" customHeight="1" x14ac:dyDescent="0.3">
      <c r="B89" s="84" t="s">
        <v>188</v>
      </c>
      <c r="C89" s="102" t="s">
        <v>182</v>
      </c>
      <c r="D89" s="327">
        <v>1</v>
      </c>
      <c r="E89" s="328"/>
      <c r="F89" s="328"/>
      <c r="G89" s="329"/>
      <c r="H89" s="327">
        <v>1</v>
      </c>
      <c r="I89" s="328"/>
      <c r="J89" s="328"/>
      <c r="K89" s="329"/>
      <c r="L89" s="327">
        <v>2</v>
      </c>
      <c r="M89" s="328"/>
      <c r="N89" s="328"/>
      <c r="O89" s="329"/>
      <c r="P89" s="327"/>
      <c r="Q89" s="328"/>
      <c r="R89" s="328"/>
      <c r="S89" s="329"/>
      <c r="T89" s="327"/>
      <c r="U89" s="328"/>
      <c r="V89" s="328"/>
      <c r="W89" s="329"/>
      <c r="Y89" s="135">
        <f t="shared" si="13"/>
        <v>4</v>
      </c>
    </row>
    <row r="90" spans="2:36" ht="18.95" customHeight="1" x14ac:dyDescent="0.3">
      <c r="B90" s="85" t="s">
        <v>189</v>
      </c>
      <c r="C90" s="102" t="s">
        <v>182</v>
      </c>
      <c r="D90" s="327"/>
      <c r="E90" s="328"/>
      <c r="F90" s="328"/>
      <c r="G90" s="329"/>
      <c r="H90" s="327"/>
      <c r="I90" s="328"/>
      <c r="J90" s="328"/>
      <c r="K90" s="329"/>
      <c r="L90" s="327"/>
      <c r="M90" s="328"/>
      <c r="N90" s="328"/>
      <c r="O90" s="329"/>
      <c r="P90" s="327"/>
      <c r="Q90" s="328"/>
      <c r="R90" s="328"/>
      <c r="S90" s="329"/>
      <c r="T90" s="327"/>
      <c r="U90" s="328"/>
      <c r="V90" s="328"/>
      <c r="W90" s="329"/>
      <c r="Y90" s="135">
        <f t="shared" si="13"/>
        <v>0</v>
      </c>
    </row>
    <row r="91" spans="2:36" ht="18.95" customHeight="1" x14ac:dyDescent="0.3">
      <c r="B91" s="85" t="s">
        <v>190</v>
      </c>
      <c r="C91" s="115" t="s">
        <v>182</v>
      </c>
      <c r="D91" s="327"/>
      <c r="E91" s="328"/>
      <c r="F91" s="328"/>
      <c r="G91" s="329"/>
      <c r="H91" s="327"/>
      <c r="I91" s="328"/>
      <c r="J91" s="328"/>
      <c r="K91" s="329"/>
      <c r="L91" s="327"/>
      <c r="M91" s="328"/>
      <c r="N91" s="328"/>
      <c r="O91" s="329"/>
      <c r="P91" s="327"/>
      <c r="Q91" s="328"/>
      <c r="R91" s="328"/>
      <c r="S91" s="329"/>
      <c r="T91" s="327"/>
      <c r="U91" s="328"/>
      <c r="V91" s="328"/>
      <c r="W91" s="329"/>
      <c r="Y91" s="135">
        <f t="shared" si="13"/>
        <v>0</v>
      </c>
    </row>
    <row r="92" spans="2:36" ht="18.95" customHeight="1" x14ac:dyDescent="0.3">
      <c r="B92" s="85" t="s">
        <v>191</v>
      </c>
      <c r="C92" s="115" t="s">
        <v>182</v>
      </c>
      <c r="D92" s="327">
        <v>1</v>
      </c>
      <c r="E92" s="328"/>
      <c r="F92" s="328"/>
      <c r="G92" s="329"/>
      <c r="H92" s="327">
        <v>2</v>
      </c>
      <c r="I92" s="328"/>
      <c r="J92" s="328"/>
      <c r="K92" s="329"/>
      <c r="L92" s="327"/>
      <c r="M92" s="328"/>
      <c r="N92" s="328"/>
      <c r="O92" s="329"/>
      <c r="P92" s="327"/>
      <c r="Q92" s="328"/>
      <c r="R92" s="328"/>
      <c r="S92" s="329"/>
      <c r="T92" s="327"/>
      <c r="U92" s="328"/>
      <c r="V92" s="328"/>
      <c r="W92" s="329"/>
      <c r="Y92" s="135">
        <f t="shared" si="13"/>
        <v>3</v>
      </c>
    </row>
    <row r="97" spans="19:19" ht="18.95" customHeight="1" x14ac:dyDescent="0.3">
      <c r="S97" s="3" t="s">
        <v>201</v>
      </c>
    </row>
  </sheetData>
  <mergeCells count="341">
    <mergeCell ref="T91:W91"/>
    <mergeCell ref="T92:W92"/>
    <mergeCell ref="T82:W82"/>
    <mergeCell ref="T83:W83"/>
    <mergeCell ref="T84:W84"/>
    <mergeCell ref="T85:W85"/>
    <mergeCell ref="T86:W86"/>
    <mergeCell ref="T87:W87"/>
    <mergeCell ref="T88:W88"/>
    <mergeCell ref="T89:W89"/>
    <mergeCell ref="T90:W90"/>
    <mergeCell ref="D90:G90"/>
    <mergeCell ref="H90:K90"/>
    <mergeCell ref="L90:O90"/>
    <mergeCell ref="P90:S90"/>
    <mergeCell ref="D91:G91"/>
    <mergeCell ref="H91:K91"/>
    <mergeCell ref="L91:O91"/>
    <mergeCell ref="P91:S91"/>
    <mergeCell ref="D92:G92"/>
    <mergeCell ref="H92:K92"/>
    <mergeCell ref="L92:O92"/>
    <mergeCell ref="P92:S92"/>
    <mergeCell ref="D87:G87"/>
    <mergeCell ref="H87:K87"/>
    <mergeCell ref="L87:O87"/>
    <mergeCell ref="P87:S87"/>
    <mergeCell ref="D88:G88"/>
    <mergeCell ref="H88:K88"/>
    <mergeCell ref="L88:O88"/>
    <mergeCell ref="P88:S88"/>
    <mergeCell ref="D89:G89"/>
    <mergeCell ref="H89:K89"/>
    <mergeCell ref="L89:O89"/>
    <mergeCell ref="P89:S89"/>
    <mergeCell ref="D84:G84"/>
    <mergeCell ref="H84:K84"/>
    <mergeCell ref="L84:O84"/>
    <mergeCell ref="P84:S84"/>
    <mergeCell ref="D85:G85"/>
    <mergeCell ref="H85:K85"/>
    <mergeCell ref="L85:O85"/>
    <mergeCell ref="P85:S85"/>
    <mergeCell ref="D86:G86"/>
    <mergeCell ref="H86:K86"/>
    <mergeCell ref="L86:O86"/>
    <mergeCell ref="P86:S86"/>
    <mergeCell ref="B82:B83"/>
    <mergeCell ref="D82:G82"/>
    <mergeCell ref="H82:K82"/>
    <mergeCell ref="L82:O82"/>
    <mergeCell ref="P82:S82"/>
    <mergeCell ref="D83:G83"/>
    <mergeCell ref="H83:K83"/>
    <mergeCell ref="L83:O83"/>
    <mergeCell ref="P83:S83"/>
    <mergeCell ref="AE2:AJ2"/>
    <mergeCell ref="D12:G12"/>
    <mergeCell ref="H12:K12"/>
    <mergeCell ref="L12:O12"/>
    <mergeCell ref="P12:S12"/>
    <mergeCell ref="R4:AD4"/>
    <mergeCell ref="U43:V43"/>
    <mergeCell ref="B6:B7"/>
    <mergeCell ref="D6:G6"/>
    <mergeCell ref="H6:K6"/>
    <mergeCell ref="L6:O6"/>
    <mergeCell ref="P6:S6"/>
    <mergeCell ref="D34:G34"/>
    <mergeCell ref="D35:G35"/>
    <mergeCell ref="D36:G36"/>
    <mergeCell ref="D37:G37"/>
    <mergeCell ref="H34:K34"/>
    <mergeCell ref="L34:O34"/>
    <mergeCell ref="P34:S34"/>
    <mergeCell ref="H35:K35"/>
    <mergeCell ref="H36:K36"/>
    <mergeCell ref="H37:K37"/>
    <mergeCell ref="L35:O35"/>
    <mergeCell ref="D10:G10"/>
    <mergeCell ref="H10:K10"/>
    <mergeCell ref="L10:O10"/>
    <mergeCell ref="P10:S10"/>
    <mergeCell ref="D11:G11"/>
    <mergeCell ref="H11:K11"/>
    <mergeCell ref="L11:O11"/>
    <mergeCell ref="P11:S11"/>
    <mergeCell ref="H8:K8"/>
    <mergeCell ref="L8:O8"/>
    <mergeCell ref="P8:S8"/>
    <mergeCell ref="D9:G9"/>
    <mergeCell ref="H9:K9"/>
    <mergeCell ref="L9:O9"/>
    <mergeCell ref="P9:S9"/>
    <mergeCell ref="D8:G8"/>
    <mergeCell ref="D23:G23"/>
    <mergeCell ref="P25:S25"/>
    <mergeCell ref="P26:S26"/>
    <mergeCell ref="P27:S27"/>
    <mergeCell ref="U16:Y16"/>
    <mergeCell ref="D13:G13"/>
    <mergeCell ref="H13:K13"/>
    <mergeCell ref="L13:O13"/>
    <mergeCell ref="P13:S13"/>
    <mergeCell ref="P18:S18"/>
    <mergeCell ref="D19:G19"/>
    <mergeCell ref="H19:K19"/>
    <mergeCell ref="L19:O19"/>
    <mergeCell ref="P19:S19"/>
    <mergeCell ref="D15:G15"/>
    <mergeCell ref="H15:K15"/>
    <mergeCell ref="L15:O15"/>
    <mergeCell ref="P15:S15"/>
    <mergeCell ref="B17:AJ17"/>
    <mergeCell ref="B18:B19"/>
    <mergeCell ref="C18:C19"/>
    <mergeCell ref="D18:G18"/>
    <mergeCell ref="H18:K18"/>
    <mergeCell ref="L18:O18"/>
    <mergeCell ref="H38:K38"/>
    <mergeCell ref="H39:K39"/>
    <mergeCell ref="L38:O38"/>
    <mergeCell ref="L39:O39"/>
    <mergeCell ref="P38:S38"/>
    <mergeCell ref="P39:S39"/>
    <mergeCell ref="D40:G40"/>
    <mergeCell ref="B32:B33"/>
    <mergeCell ref="C32:C33"/>
    <mergeCell ref="D32:G32"/>
    <mergeCell ref="H32:K32"/>
    <mergeCell ref="L32:O32"/>
    <mergeCell ref="P32:S32"/>
    <mergeCell ref="D33:G33"/>
    <mergeCell ref="H33:K33"/>
    <mergeCell ref="L33:O33"/>
    <mergeCell ref="P33:S33"/>
    <mergeCell ref="H40:K40"/>
    <mergeCell ref="L36:O36"/>
    <mergeCell ref="L37:O37"/>
    <mergeCell ref="P35:S35"/>
    <mergeCell ref="P36:S36"/>
    <mergeCell ref="P37:S37"/>
    <mergeCell ref="H41:K41"/>
    <mergeCell ref="L40:O40"/>
    <mergeCell ref="L41:O41"/>
    <mergeCell ref="P40:S40"/>
    <mergeCell ref="P41:S41"/>
    <mergeCell ref="D42:G42"/>
    <mergeCell ref="H42:K42"/>
    <mergeCell ref="L42:O42"/>
    <mergeCell ref="P42:S42"/>
    <mergeCell ref="H50:K50"/>
    <mergeCell ref="L50:O50"/>
    <mergeCell ref="P50:S50"/>
    <mergeCell ref="D50:G50"/>
    <mergeCell ref="H51:K51"/>
    <mergeCell ref="L51:O51"/>
    <mergeCell ref="P51:S51"/>
    <mergeCell ref="H46:K46"/>
    <mergeCell ref="L46:O46"/>
    <mergeCell ref="P46:S46"/>
    <mergeCell ref="D47:G47"/>
    <mergeCell ref="H47:K47"/>
    <mergeCell ref="L47:O47"/>
    <mergeCell ref="P47:S47"/>
    <mergeCell ref="D48:G48"/>
    <mergeCell ref="H48:K48"/>
    <mergeCell ref="L48:O48"/>
    <mergeCell ref="P48:S48"/>
    <mergeCell ref="H49:K49"/>
    <mergeCell ref="L49:O49"/>
    <mergeCell ref="P49:S49"/>
    <mergeCell ref="T44:W44"/>
    <mergeCell ref="D45:G45"/>
    <mergeCell ref="H45:K45"/>
    <mergeCell ref="L45:O45"/>
    <mergeCell ref="P45:S45"/>
    <mergeCell ref="T45:W45"/>
    <mergeCell ref="B44:B45"/>
    <mergeCell ref="C44:C45"/>
    <mergeCell ref="D44:G44"/>
    <mergeCell ref="H44:K44"/>
    <mergeCell ref="L44:O44"/>
    <mergeCell ref="P44:S44"/>
    <mergeCell ref="H52:K52"/>
    <mergeCell ref="L52:O52"/>
    <mergeCell ref="P52:S52"/>
    <mergeCell ref="D53:G53"/>
    <mergeCell ref="H53:K53"/>
    <mergeCell ref="L53:O53"/>
    <mergeCell ref="P53:S53"/>
    <mergeCell ref="D54:G54"/>
    <mergeCell ref="H54:K54"/>
    <mergeCell ref="L54:O54"/>
    <mergeCell ref="P54:S54"/>
    <mergeCell ref="T46:W46"/>
    <mergeCell ref="T47:W47"/>
    <mergeCell ref="T48:W48"/>
    <mergeCell ref="T49:W49"/>
    <mergeCell ref="T50:W50"/>
    <mergeCell ref="T51:W51"/>
    <mergeCell ref="T52:W52"/>
    <mergeCell ref="T53:W53"/>
    <mergeCell ref="T54:W54"/>
    <mergeCell ref="B58:B59"/>
    <mergeCell ref="D24:G24"/>
    <mergeCell ref="D25:G25"/>
    <mergeCell ref="D52:G52"/>
    <mergeCell ref="D49:G49"/>
    <mergeCell ref="D46:G46"/>
    <mergeCell ref="D41:G41"/>
    <mergeCell ref="D38:G38"/>
    <mergeCell ref="D39:G39"/>
    <mergeCell ref="D58:G58"/>
    <mergeCell ref="D51:G51"/>
    <mergeCell ref="H28:K28"/>
    <mergeCell ref="H29:K29"/>
    <mergeCell ref="H30:K30"/>
    <mergeCell ref="D29:G29"/>
    <mergeCell ref="D30:G30"/>
    <mergeCell ref="L20:O20"/>
    <mergeCell ref="L26:O26"/>
    <mergeCell ref="L27:O27"/>
    <mergeCell ref="L28:O28"/>
    <mergeCell ref="L29:O29"/>
    <mergeCell ref="D26:G26"/>
    <mergeCell ref="D27:G27"/>
    <mergeCell ref="D28:G28"/>
    <mergeCell ref="H20:K20"/>
    <mergeCell ref="H21:K21"/>
    <mergeCell ref="H22:K22"/>
    <mergeCell ref="H23:K23"/>
    <mergeCell ref="H24:K24"/>
    <mergeCell ref="H25:K25"/>
    <mergeCell ref="H26:K26"/>
    <mergeCell ref="D20:G20"/>
    <mergeCell ref="D21:G21"/>
    <mergeCell ref="D22:G22"/>
    <mergeCell ref="H27:K27"/>
    <mergeCell ref="P28:S28"/>
    <mergeCell ref="P29:S29"/>
    <mergeCell ref="P30:S30"/>
    <mergeCell ref="P20:S20"/>
    <mergeCell ref="L21:O21"/>
    <mergeCell ref="L22:O22"/>
    <mergeCell ref="L23:O23"/>
    <mergeCell ref="L24:O24"/>
    <mergeCell ref="L25:O25"/>
    <mergeCell ref="P21:S21"/>
    <mergeCell ref="P22:S22"/>
    <mergeCell ref="P23:S23"/>
    <mergeCell ref="P24:S24"/>
    <mergeCell ref="L30:O30"/>
    <mergeCell ref="H62:K62"/>
    <mergeCell ref="L62:O62"/>
    <mergeCell ref="P62:S62"/>
    <mergeCell ref="D63:G63"/>
    <mergeCell ref="H63:K63"/>
    <mergeCell ref="L63:O63"/>
    <mergeCell ref="P63:S63"/>
    <mergeCell ref="H58:K58"/>
    <mergeCell ref="L58:O58"/>
    <mergeCell ref="P58:S58"/>
    <mergeCell ref="D59:G59"/>
    <mergeCell ref="H59:K59"/>
    <mergeCell ref="L59:O59"/>
    <mergeCell ref="P59:S59"/>
    <mergeCell ref="D60:G60"/>
    <mergeCell ref="H60:K60"/>
    <mergeCell ref="L60:O60"/>
    <mergeCell ref="P60:S60"/>
    <mergeCell ref="D61:G61"/>
    <mergeCell ref="H61:K61"/>
    <mergeCell ref="L61:O61"/>
    <mergeCell ref="P61:S61"/>
    <mergeCell ref="D62:G62"/>
    <mergeCell ref="H67:K67"/>
    <mergeCell ref="L67:O67"/>
    <mergeCell ref="P67:S67"/>
    <mergeCell ref="D68:G68"/>
    <mergeCell ref="H68:K68"/>
    <mergeCell ref="L68:O68"/>
    <mergeCell ref="P68:S68"/>
    <mergeCell ref="H64:K64"/>
    <mergeCell ref="L64:O64"/>
    <mergeCell ref="P64:S64"/>
    <mergeCell ref="D65:G65"/>
    <mergeCell ref="H65:K65"/>
    <mergeCell ref="L65:O65"/>
    <mergeCell ref="P65:S65"/>
    <mergeCell ref="D66:G66"/>
    <mergeCell ref="H66:K66"/>
    <mergeCell ref="L66:O66"/>
    <mergeCell ref="P66:S66"/>
    <mergeCell ref="D64:G64"/>
    <mergeCell ref="D67:G67"/>
    <mergeCell ref="B70:B71"/>
    <mergeCell ref="D70:G70"/>
    <mergeCell ref="H70:K70"/>
    <mergeCell ref="L70:O70"/>
    <mergeCell ref="P70:S70"/>
    <mergeCell ref="D71:G71"/>
    <mergeCell ref="H71:K71"/>
    <mergeCell ref="L71:O71"/>
    <mergeCell ref="P71:S71"/>
    <mergeCell ref="D72:G72"/>
    <mergeCell ref="H72:K72"/>
    <mergeCell ref="L72:O72"/>
    <mergeCell ref="P72:S72"/>
    <mergeCell ref="D73:G73"/>
    <mergeCell ref="H73:K73"/>
    <mergeCell ref="L73:O73"/>
    <mergeCell ref="P73:S73"/>
    <mergeCell ref="D74:G74"/>
    <mergeCell ref="H74:K74"/>
    <mergeCell ref="L74:O74"/>
    <mergeCell ref="P74:S74"/>
    <mergeCell ref="D75:G75"/>
    <mergeCell ref="H75:K75"/>
    <mergeCell ref="L75:O75"/>
    <mergeCell ref="P75:S75"/>
    <mergeCell ref="D76:G76"/>
    <mergeCell ref="H76:K76"/>
    <mergeCell ref="L76:O76"/>
    <mergeCell ref="P76:S76"/>
    <mergeCell ref="D80:G80"/>
    <mergeCell ref="H80:K80"/>
    <mergeCell ref="L80:O80"/>
    <mergeCell ref="P80:S80"/>
    <mergeCell ref="D77:G77"/>
    <mergeCell ref="H77:K77"/>
    <mergeCell ref="L77:O77"/>
    <mergeCell ref="P77:S77"/>
    <mergeCell ref="D78:G78"/>
    <mergeCell ref="H78:K78"/>
    <mergeCell ref="L78:O78"/>
    <mergeCell ref="P78:S78"/>
    <mergeCell ref="D79:G79"/>
    <mergeCell ref="H79:K79"/>
    <mergeCell ref="L79:O79"/>
    <mergeCell ref="P79:S79"/>
  </mergeCells>
  <conditionalFormatting sqref="D20:D28">
    <cfRule type="cellIs" dxfId="45" priority="47" operator="equal">
      <formula>"C"</formula>
    </cfRule>
    <cfRule type="cellIs" dxfId="44" priority="48" operator="equal">
      <formula>"X"</formula>
    </cfRule>
  </conditionalFormatting>
  <conditionalFormatting sqref="D34:D42">
    <cfRule type="cellIs" dxfId="43" priority="43" operator="equal">
      <formula>"C"</formula>
    </cfRule>
    <cfRule type="cellIs" dxfId="42" priority="44" operator="equal">
      <formula>"X"</formula>
    </cfRule>
  </conditionalFormatting>
  <conditionalFormatting sqref="D46:D51">
    <cfRule type="cellIs" dxfId="41" priority="21" operator="equal">
      <formula>"C"</formula>
    </cfRule>
    <cfRule type="cellIs" dxfId="40" priority="22" operator="equal">
      <formula>"X"</formula>
    </cfRule>
  </conditionalFormatting>
  <conditionalFormatting sqref="D53:D55">
    <cfRule type="cellIs" dxfId="39" priority="19" operator="equal">
      <formula>"C"</formula>
    </cfRule>
    <cfRule type="cellIs" dxfId="38" priority="20" operator="equal">
      <formula>"X"</formula>
    </cfRule>
  </conditionalFormatting>
  <conditionalFormatting sqref="D60:D68">
    <cfRule type="cellIs" dxfId="37" priority="13" operator="equal">
      <formula>"C"</formula>
    </cfRule>
    <cfRule type="cellIs" dxfId="36" priority="14" operator="equal">
      <formula>"X"</formula>
    </cfRule>
  </conditionalFormatting>
  <conditionalFormatting sqref="D72:D80">
    <cfRule type="cellIs" dxfId="35" priority="9" operator="equal">
      <formula>"C"</formula>
    </cfRule>
    <cfRule type="cellIs" dxfId="34" priority="10" operator="equal">
      <formula>"X"</formula>
    </cfRule>
  </conditionalFormatting>
  <conditionalFormatting sqref="D84:D92">
    <cfRule type="cellIs" dxfId="33" priority="5" operator="equal">
      <formula>"C"</formula>
    </cfRule>
    <cfRule type="cellIs" dxfId="32" priority="6" operator="equal">
      <formula>"X"</formula>
    </cfRule>
  </conditionalFormatting>
  <conditionalFormatting sqref="H20:H28">
    <cfRule type="cellIs" dxfId="31" priority="45" operator="equal">
      <formula>"C"</formula>
    </cfRule>
    <cfRule type="cellIs" dxfId="30" priority="46" operator="equal">
      <formula>"X"</formula>
    </cfRule>
  </conditionalFormatting>
  <conditionalFormatting sqref="H34:H42 L34:L42 P34:P42">
    <cfRule type="cellIs" dxfId="29" priority="41" operator="equal">
      <formula>"C"</formula>
    </cfRule>
    <cfRule type="cellIs" dxfId="28" priority="42" operator="equal">
      <formula>"X"</formula>
    </cfRule>
  </conditionalFormatting>
  <conditionalFormatting sqref="H46:H55 L46:L55 P46:P55 T46:T55">
    <cfRule type="cellIs" dxfId="27" priority="33" operator="equal">
      <formula>"C"</formula>
    </cfRule>
    <cfRule type="cellIs" dxfId="26" priority="34" operator="equal">
      <formula>"X"</formula>
    </cfRule>
  </conditionalFormatting>
  <conditionalFormatting sqref="H60:H68 L60:L68 P60:P68">
    <cfRule type="cellIs" dxfId="25" priority="11" operator="equal">
      <formula>"C"</formula>
    </cfRule>
    <cfRule type="cellIs" dxfId="24" priority="12" operator="equal">
      <formula>"X"</formula>
    </cfRule>
  </conditionalFormatting>
  <conditionalFormatting sqref="H72:H80 L72:L80 P72:P80">
    <cfRule type="cellIs" dxfId="23" priority="7" operator="equal">
      <formula>"C"</formula>
    </cfRule>
    <cfRule type="cellIs" dxfId="22" priority="8" operator="equal">
      <formula>"X"</formula>
    </cfRule>
  </conditionalFormatting>
  <conditionalFormatting sqref="H84:H92 L84:L92 P84:P92">
    <cfRule type="cellIs" dxfId="21" priority="3" operator="equal">
      <formula>"C"</formula>
    </cfRule>
    <cfRule type="cellIs" dxfId="20" priority="4" operator="equal">
      <formula>"X"</formula>
    </cfRule>
  </conditionalFormatting>
  <conditionalFormatting sqref="L20:L28 P20:P28">
    <cfRule type="cellIs" dxfId="19" priority="49" operator="equal">
      <formula>"C"</formula>
    </cfRule>
    <cfRule type="cellIs" dxfId="18" priority="50" operator="equal">
      <formula>"X"</formula>
    </cfRule>
  </conditionalFormatting>
  <conditionalFormatting sqref="T84:T92">
    <cfRule type="cellIs" dxfId="17" priority="1" operator="equal">
      <formula>"C"</formula>
    </cfRule>
    <cfRule type="cellIs" dxfId="16" priority="2" operator="equal">
      <formula>"X"</formula>
    </cfRule>
  </conditionalFormatting>
  <dataValidations count="3">
    <dataValidation allowBlank="1" showInputMessage="1" showErrorMessage="1" promptTitle="Shift Work Calendar" sqref="A2" xr:uid="{3D20082E-20B1-4DD4-9571-F4511B7B707F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42E95A6A-55DD-4B4C-A1AC-F6FB58710DD3}"/>
    <dataValidation allowBlank="1" showInputMessage="1" showErrorMessage="1" prompt="Type the year in this cell." sqref="AE2:AJ2" xr:uid="{A6F1BDEC-1BC0-4438-AE8F-A6EA07DC04F2}"/>
  </dataValidations>
  <printOptions horizontalCentered="1" verticalCentered="1"/>
  <pageMargins left="0.3" right="0.3" top="0.3" bottom="0.3" header="0.3" footer="0.3"/>
  <pageSetup scale="4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A9B59A8-FF08-4271-9DF4-87A2E2BDC404}">
          <x14:formula1>
            <xm:f>Sheet1!$B$39:$B$46</xm:f>
          </x14:formula1>
          <xm:sqref>D8:S8</xm:sqref>
        </x14:dataValidation>
        <x14:dataValidation type="list" allowBlank="1" showInputMessage="1" showErrorMessage="1" xr:uid="{C6D1D9F2-B068-4EB1-BEEB-7D40B3D4CBE6}">
          <x14:formula1>
            <xm:f>Sheet1!$B$13:$B$18</xm:f>
          </x14:formula1>
          <xm:sqref>D9:S9</xm:sqref>
        </x14:dataValidation>
        <x14:dataValidation type="list" allowBlank="1" showInputMessage="1" showErrorMessage="1" xr:uid="{08595AF7-0FBA-4CD2-A3C5-A1C4EA9D0F6F}">
          <x14:formula1>
            <xm:f>Sheet1!$B$48:$B$53</xm:f>
          </x14:formula1>
          <xm:sqref>D12:S16</xm:sqref>
        </x14:dataValidation>
        <x14:dataValidation type="list" allowBlank="1" showInputMessage="1" showErrorMessage="1" xr:uid="{5138CF14-507B-4627-8A3D-DB489001D190}">
          <x14:formula1>
            <xm:f>Sheet1!$B$20:$B$25</xm:f>
          </x14:formula1>
          <xm:sqref>D10:S10</xm:sqref>
        </x14:dataValidation>
        <x14:dataValidation type="list" allowBlank="1" showInputMessage="1" showErrorMessage="1" xr:uid="{C7AF9992-709B-4041-B4CF-A5EE9EAB645B}">
          <x14:formula1>
            <xm:f>Sheet1!$B$3:$B$11</xm:f>
          </x14:formula1>
          <xm:sqref>D11:S11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3535-112B-4C99-A8D5-83A851006727}">
  <sheetPr filterMode="1">
    <pageSetUpPr fitToPage="1"/>
  </sheetPr>
  <dimension ref="A1:AO181"/>
  <sheetViews>
    <sheetView showGridLines="0" topLeftCell="A161" zoomScaleNormal="100" workbookViewId="0">
      <selection activeCell="T177" sqref="T177:U177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4.77734375" style="69" customWidth="1"/>
    <col min="4" max="4" width="3.77734375" style="3" customWidth="1"/>
    <col min="5" max="5" width="3.6640625" style="3" customWidth="1"/>
    <col min="6" max="6" width="2.88671875" style="3" customWidth="1"/>
    <col min="7" max="7" width="4" style="3" customWidth="1"/>
    <col min="8" max="19" width="3.77734375" style="3" customWidth="1"/>
    <col min="20" max="20" width="4.33203125" style="3" customWidth="1"/>
    <col min="21" max="23" width="3.77734375" style="3" customWidth="1"/>
    <col min="24" max="24" width="5.6640625" style="3" customWidth="1"/>
    <col min="25" max="25" width="3.77734375" style="3" customWidth="1"/>
    <col min="26" max="26" width="7.77734375" style="3" bestFit="1" customWidth="1"/>
    <col min="27" max="27" width="10.33203125" style="3" hidden="1" customWidth="1"/>
    <col min="28" max="28" width="9.33203125" style="3" bestFit="1" customWidth="1"/>
    <col min="29" max="35" width="3.77734375" style="3" customWidth="1"/>
    <col min="36" max="36" width="4.88671875" style="3" customWidth="1"/>
    <col min="37" max="37" width="3.77734375" style="3" customWidth="1"/>
    <col min="38" max="41" width="0" style="3" hidden="1" customWidth="1"/>
    <col min="42" max="16384" width="8.88671875" style="3" hidden="1"/>
  </cols>
  <sheetData>
    <row r="1" spans="2:36" ht="4.9000000000000004" customHeight="1" x14ac:dyDescent="0.3"/>
    <row r="2" spans="2:36" s="59" customFormat="1" ht="60" customHeight="1" x14ac:dyDescent="0.8">
      <c r="B2" s="62" t="s">
        <v>202</v>
      </c>
      <c r="C2" s="62"/>
      <c r="D2" s="63"/>
      <c r="E2" s="63"/>
      <c r="F2" s="63"/>
      <c r="G2" s="63"/>
      <c r="H2" s="63"/>
      <c r="I2" s="63"/>
      <c r="J2" s="63"/>
      <c r="K2" s="63"/>
      <c r="L2" s="65"/>
      <c r="M2" s="65"/>
      <c r="N2" s="65"/>
      <c r="O2" s="65"/>
      <c r="P2" s="65"/>
      <c r="Q2" s="65"/>
      <c r="R2" s="65"/>
      <c r="S2" s="65"/>
      <c r="T2" s="336" t="s">
        <v>179</v>
      </c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119"/>
      <c r="AH2" s="119"/>
      <c r="AI2" s="119"/>
      <c r="AJ2" s="119"/>
    </row>
    <row r="3" spans="2:36" s="75" customFormat="1" ht="19.899999999999999" hidden="1" customHeight="1" x14ac:dyDescent="0.3">
      <c r="B3" s="211">
        <f>DATE(CalendarYear,1,1)</f>
        <v>1</v>
      </c>
      <c r="C3" s="82"/>
      <c r="D3" s="213" t="s">
        <v>5</v>
      </c>
      <c r="E3" s="214"/>
      <c r="F3" s="214"/>
      <c r="G3" s="214"/>
      <c r="H3" s="213" t="s">
        <v>6</v>
      </c>
      <c r="I3" s="214"/>
      <c r="J3" s="214"/>
      <c r="K3" s="214"/>
      <c r="L3" s="213" t="s">
        <v>7</v>
      </c>
      <c r="M3" s="214"/>
      <c r="N3" s="214"/>
      <c r="O3" s="214"/>
      <c r="P3" s="213" t="s">
        <v>8</v>
      </c>
      <c r="Q3" s="214"/>
      <c r="R3" s="214"/>
      <c r="S3" s="214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9"/>
      <c r="AF3" s="9"/>
      <c r="AG3" s="9"/>
      <c r="AH3" s="9"/>
      <c r="AI3" s="9"/>
      <c r="AJ3" s="11"/>
    </row>
    <row r="4" spans="2:36" s="75" customFormat="1" ht="19.899999999999999" hidden="1" customHeight="1" x14ac:dyDescent="0.3">
      <c r="B4" s="239"/>
      <c r="C4" s="90"/>
      <c r="D4" s="87" t="s">
        <v>9</v>
      </c>
      <c r="E4" s="80" t="s">
        <v>10</v>
      </c>
      <c r="F4" s="80" t="s">
        <v>11</v>
      </c>
      <c r="G4" s="80" t="s">
        <v>12</v>
      </c>
      <c r="H4" s="87" t="s">
        <v>9</v>
      </c>
      <c r="I4" s="80" t="s">
        <v>10</v>
      </c>
      <c r="J4" s="80" t="s">
        <v>11</v>
      </c>
      <c r="K4" s="80" t="s">
        <v>12</v>
      </c>
      <c r="L4" s="87" t="s">
        <v>9</v>
      </c>
      <c r="M4" s="80" t="s">
        <v>10</v>
      </c>
      <c r="N4" s="80" t="s">
        <v>11</v>
      </c>
      <c r="O4" s="80" t="s">
        <v>12</v>
      </c>
      <c r="P4" s="87" t="s">
        <v>9</v>
      </c>
      <c r="Q4" s="80" t="s">
        <v>10</v>
      </c>
      <c r="R4" s="80" t="s">
        <v>11</v>
      </c>
      <c r="S4" s="80" t="s">
        <v>12</v>
      </c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79"/>
      <c r="AF4" s="10"/>
      <c r="AG4" s="10"/>
      <c r="AH4" s="10"/>
      <c r="AI4" s="10"/>
      <c r="AJ4" s="12"/>
    </row>
    <row r="5" spans="2:36" ht="19.899999999999999" hidden="1" customHeight="1" x14ac:dyDescent="0.3">
      <c r="B5" s="83" t="s">
        <v>21</v>
      </c>
      <c r="C5" s="92" t="s">
        <v>22</v>
      </c>
      <c r="D5" s="193" t="s">
        <v>74</v>
      </c>
      <c r="E5" s="194"/>
      <c r="F5" s="194"/>
      <c r="G5" s="194"/>
      <c r="H5" s="193" t="s">
        <v>75</v>
      </c>
      <c r="I5" s="194"/>
      <c r="J5" s="194"/>
      <c r="K5" s="194"/>
      <c r="L5" s="193" t="s">
        <v>76</v>
      </c>
      <c r="M5" s="194"/>
      <c r="N5" s="194"/>
      <c r="O5" s="194"/>
      <c r="P5" s="193" t="s">
        <v>77</v>
      </c>
      <c r="Q5" s="194"/>
      <c r="R5" s="194"/>
      <c r="S5" s="194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2:36" ht="19.899999999999999" hidden="1" customHeight="1" x14ac:dyDescent="0.3">
      <c r="B6" s="84" t="s">
        <v>23</v>
      </c>
      <c r="C6" s="91" t="s">
        <v>24</v>
      </c>
      <c r="D6" s="193" t="s">
        <v>78</v>
      </c>
      <c r="E6" s="194"/>
      <c r="F6" s="194"/>
      <c r="G6" s="194"/>
      <c r="H6" s="193" t="s">
        <v>79</v>
      </c>
      <c r="I6" s="194"/>
      <c r="J6" s="194"/>
      <c r="K6" s="194"/>
      <c r="L6" s="193" t="s">
        <v>80</v>
      </c>
      <c r="M6" s="194"/>
      <c r="N6" s="194"/>
      <c r="O6" s="194"/>
      <c r="P6" s="193" t="s">
        <v>98</v>
      </c>
      <c r="Q6" s="194"/>
      <c r="R6" s="194"/>
      <c r="S6" s="194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2:36" ht="19.899999999999999" hidden="1" customHeight="1" x14ac:dyDescent="0.3">
      <c r="B7" s="84" t="s">
        <v>25</v>
      </c>
      <c r="C7" s="91" t="s">
        <v>26</v>
      </c>
      <c r="D7" s="193" t="s">
        <v>83</v>
      </c>
      <c r="E7" s="194"/>
      <c r="F7" s="194"/>
      <c r="G7" s="194"/>
      <c r="H7" s="193" t="s">
        <v>82</v>
      </c>
      <c r="I7" s="194"/>
      <c r="J7" s="194"/>
      <c r="K7" s="194"/>
      <c r="L7" s="193" t="s">
        <v>83</v>
      </c>
      <c r="M7" s="194"/>
      <c r="N7" s="194"/>
      <c r="O7" s="194"/>
      <c r="P7" s="193" t="s">
        <v>82</v>
      </c>
      <c r="Q7" s="194"/>
      <c r="R7" s="194"/>
      <c r="S7" s="194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2:36" ht="19.899999999999999" hidden="1" customHeight="1" x14ac:dyDescent="0.3">
      <c r="B8" s="84" t="s">
        <v>27</v>
      </c>
      <c r="C8" s="91" t="s">
        <v>28</v>
      </c>
      <c r="D8" s="193" t="s">
        <v>151</v>
      </c>
      <c r="E8" s="194"/>
      <c r="F8" s="194"/>
      <c r="G8" s="194"/>
      <c r="H8" s="193" t="s">
        <v>85</v>
      </c>
      <c r="I8" s="194"/>
      <c r="J8" s="194"/>
      <c r="K8" s="194"/>
      <c r="L8" s="193" t="s">
        <v>152</v>
      </c>
      <c r="M8" s="194"/>
      <c r="N8" s="194"/>
      <c r="O8" s="194"/>
      <c r="P8" s="193" t="s">
        <v>153</v>
      </c>
      <c r="Q8" s="194"/>
      <c r="R8" s="194"/>
      <c r="S8" s="19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2:36" ht="19.899999999999999" hidden="1" customHeight="1" x14ac:dyDescent="0.3">
      <c r="B9" s="84" t="s">
        <v>29</v>
      </c>
      <c r="C9" s="91" t="s">
        <v>30</v>
      </c>
      <c r="D9" s="193" t="s">
        <v>88</v>
      </c>
      <c r="E9" s="194"/>
      <c r="F9" s="194"/>
      <c r="G9" s="194"/>
      <c r="H9" s="193" t="s">
        <v>89</v>
      </c>
      <c r="I9" s="194"/>
      <c r="J9" s="194"/>
      <c r="K9" s="194"/>
      <c r="L9" s="193" t="s">
        <v>90</v>
      </c>
      <c r="M9" s="194"/>
      <c r="N9" s="194"/>
      <c r="O9" s="194"/>
      <c r="P9" s="193" t="s">
        <v>91</v>
      </c>
      <c r="Q9" s="194"/>
      <c r="R9" s="194"/>
      <c r="S9" s="194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2:36" ht="19.899999999999999" hidden="1" customHeight="1" x14ac:dyDescent="0.3">
      <c r="B10" s="84" t="s">
        <v>31</v>
      </c>
      <c r="C10" s="91" t="s">
        <v>30</v>
      </c>
      <c r="D10" s="193" t="s">
        <v>89</v>
      </c>
      <c r="E10" s="194"/>
      <c r="F10" s="194"/>
      <c r="G10" s="194"/>
      <c r="H10" s="193" t="s">
        <v>90</v>
      </c>
      <c r="I10" s="194"/>
      <c r="J10" s="194"/>
      <c r="K10" s="194"/>
      <c r="L10" s="193" t="s">
        <v>91</v>
      </c>
      <c r="M10" s="194"/>
      <c r="N10" s="194"/>
      <c r="O10" s="194"/>
      <c r="P10" s="193" t="s">
        <v>92</v>
      </c>
      <c r="Q10" s="194"/>
      <c r="R10" s="194"/>
      <c r="S10" s="194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2:36" ht="19.899999999999999" hidden="1" customHeight="1" x14ac:dyDescent="0.3">
      <c r="B11" s="84"/>
      <c r="C11" s="91"/>
      <c r="D11" s="93"/>
      <c r="E11" s="94"/>
      <c r="F11" s="94"/>
      <c r="G11" s="94"/>
      <c r="H11" s="93"/>
      <c r="I11" s="94"/>
      <c r="J11" s="94"/>
      <c r="K11" s="94"/>
      <c r="L11" s="93"/>
      <c r="M11" s="94"/>
      <c r="N11" s="94"/>
      <c r="O11" s="94"/>
      <c r="P11" s="93"/>
      <c r="Q11" s="94"/>
      <c r="R11" s="94"/>
      <c r="S11" s="94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2:36" ht="19.899999999999999" hidden="1" customHeight="1" x14ac:dyDescent="0.3">
      <c r="B12" s="85" t="s">
        <v>32</v>
      </c>
      <c r="C12" s="91" t="s">
        <v>30</v>
      </c>
      <c r="D12" s="193" t="s">
        <v>91</v>
      </c>
      <c r="E12" s="194"/>
      <c r="F12" s="194"/>
      <c r="G12" s="194"/>
      <c r="H12" s="193" t="s">
        <v>93</v>
      </c>
      <c r="I12" s="194"/>
      <c r="J12" s="194"/>
      <c r="K12" s="194"/>
      <c r="L12" s="193" t="s">
        <v>92</v>
      </c>
      <c r="M12" s="194"/>
      <c r="N12" s="194"/>
      <c r="O12" s="194"/>
      <c r="P12" s="193" t="s">
        <v>90</v>
      </c>
      <c r="Q12" s="194"/>
      <c r="R12" s="194"/>
      <c r="S12" s="194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2:36" ht="19.899999999999999" customHeight="1" x14ac:dyDescent="0.3">
      <c r="B13" s="110"/>
      <c r="C13" s="11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09"/>
      <c r="U13" s="334"/>
      <c r="V13" s="334"/>
      <c r="W13" s="334"/>
      <c r="X13" s="334"/>
      <c r="Y13" s="334"/>
      <c r="Z13" s="109"/>
      <c r="AA13" s="109"/>
      <c r="AB13" s="3" t="s">
        <v>203</v>
      </c>
      <c r="AC13" s="109"/>
      <c r="AD13" s="109"/>
      <c r="AE13" s="109"/>
      <c r="AF13" s="109"/>
      <c r="AG13" s="109"/>
      <c r="AH13" s="109"/>
      <c r="AI13" s="109"/>
      <c r="AJ13" s="109"/>
    </row>
    <row r="14" spans="2:36" ht="19.899999999999999" hidden="1" customHeight="1" thickBot="1" x14ac:dyDescent="0.35">
      <c r="B14" s="335" t="s">
        <v>204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  <c r="X14" s="335"/>
      <c r="Y14" s="335"/>
      <c r="Z14" s="335"/>
      <c r="AA14" s="335"/>
      <c r="AB14" s="335"/>
      <c r="AC14" s="335"/>
      <c r="AD14" s="335"/>
      <c r="AE14" s="335"/>
      <c r="AF14" s="335"/>
      <c r="AG14" s="335"/>
      <c r="AH14" s="335"/>
      <c r="AI14" s="335"/>
      <c r="AJ14" s="335"/>
    </row>
    <row r="15" spans="2:36" s="76" customFormat="1" ht="19.899999999999999" hidden="1" customHeight="1" thickBot="1" x14ac:dyDescent="0.35">
      <c r="B15" s="240">
        <v>46054</v>
      </c>
      <c r="C15" s="309" t="s">
        <v>17</v>
      </c>
      <c r="D15" s="349" t="s">
        <v>5</v>
      </c>
      <c r="E15" s="350"/>
      <c r="F15" s="350"/>
      <c r="G15" s="350"/>
      <c r="H15" s="349" t="s">
        <v>6</v>
      </c>
      <c r="I15" s="350"/>
      <c r="J15" s="350"/>
      <c r="K15" s="351"/>
      <c r="L15" s="349" t="s">
        <v>7</v>
      </c>
      <c r="M15" s="350"/>
      <c r="N15" s="350"/>
      <c r="O15" s="351"/>
      <c r="P15" s="349" t="s">
        <v>8</v>
      </c>
      <c r="Q15" s="350"/>
      <c r="R15" s="350"/>
      <c r="S15" s="351"/>
      <c r="T15" s="89"/>
      <c r="U15" s="9"/>
      <c r="V15" s="9"/>
      <c r="W15" s="9"/>
      <c r="X15" s="9"/>
      <c r="Y15" s="9"/>
      <c r="Z15" s="9"/>
      <c r="AA15" s="9"/>
      <c r="AB15" s="9" t="str">
        <f>IF(DAY(FebSun1)=1,IF(AND(YEAR(FebSun1+22)=CalendarYear,MONTH(FebSun1+22)=2),FebSun1+22,""),IF(AND(YEAR(FebSun1+29)=CalendarYear,MONTH(FebSun1+29)=2),FebSun1+29,""))</f>
        <v/>
      </c>
      <c r="AC15" s="9" t="str">
        <f>IF(DAY(FebSun1)=1,IF(AND(YEAR(FebSun1+23)=CalendarYear,MONTH(FebSun1+23)=2),FebSun1+23,""),IF(AND(YEAR(FebSun1+30)=CalendarYear,MONTH(FebSun1+30)=2),FebSun1+30,""))</f>
        <v/>
      </c>
      <c r="AD15" s="9" t="str">
        <f>IF(DAY(FebSun1)=1,IF(AND(YEAR(FebSun1+24)=CalendarYear,MONTH(FebSun1+24)=2),FebSun1+24,""),IF(AND(YEAR(FebSun1+31)=CalendarYear,MONTH(FebSun1+31)=2),FebSun1+31,""))</f>
        <v/>
      </c>
      <c r="AE15" s="9" t="str">
        <f>IF(DAY(FebSun1)=1,IF(AND(YEAR(FebSun1+25)=CalendarYear,MONTH(FebSun1+25)=2),FebSun1+25,""),IF(AND(YEAR(FebSun1+32)=CalendarYear,MONTH(FebSun1+32)=2),FebSun1+32,""))</f>
        <v/>
      </c>
      <c r="AF15" s="9" t="str">
        <f>IF(DAY(FebSun1)=1,IF(AND(YEAR(FebSun1+26)=CalendarYear,MONTH(FebSun1+26)=2),FebSun1+26,""),IF(AND(YEAR(FebSun1+33)=CalendarYear,MONTH(FebSun1+33)=2),FebSun1+33,""))</f>
        <v/>
      </c>
      <c r="AG15" s="9" t="str">
        <f>IF(DAY(FebSun1)=1,IF(AND(YEAR(FebSun1+27)=CalendarYear,MONTH(FebSun1+27)=2),FebSun1+27,""),IF(AND(YEAR(FebSun1+34)=CalendarYear,MONTH(FebSun1+34)=2),FebSun1+34,""))</f>
        <v/>
      </c>
      <c r="AH15" s="9" t="str">
        <f>IF(DAY(FebSun1)=1,IF(AND(YEAR(FebSun1+28)=CalendarYear,MONTH(FebSun1+28)=2),FebSun1+28,""),IF(AND(YEAR(FebSun1+35)=CalendarYear,MONTH(FebSun1+35)=2),FebSun1+35,""))</f>
        <v/>
      </c>
      <c r="AI15" s="9" t="str">
        <f>IF(DAY(FebSun1)=1,IF(AND(YEAR(FebSun1+29)=CalendarYear,MONTH(FebSun1+29)=2),FebSun1+29,""),IF(AND(YEAR(FebSun1+36)=CalendarYear,MONTH(FebSun1+36)=2),FebSun1+36,""))</f>
        <v/>
      </c>
      <c r="AJ15" s="11" t="str">
        <f>IF(DAY(FebSun1)=1,IF(AND(YEAR(FebSun1+30)=CalendarYear,MONTH(FebSun1+30)=2),FebSun1+30,""),IF(AND(YEAR(FebSun1+37)=CalendarYear,MONTH(FebSun1+37)=2),FebSun1+37,""))</f>
        <v/>
      </c>
    </row>
    <row r="16" spans="2:36" s="76" customFormat="1" ht="19.899999999999999" hidden="1" customHeight="1" x14ac:dyDescent="0.3">
      <c r="B16" s="239"/>
      <c r="C16" s="309"/>
      <c r="D16" s="352" t="s">
        <v>156</v>
      </c>
      <c r="E16" s="353"/>
      <c r="F16" s="353"/>
      <c r="G16" s="353"/>
      <c r="H16" s="346" t="s">
        <v>18</v>
      </c>
      <c r="I16" s="347"/>
      <c r="J16" s="347"/>
      <c r="K16" s="348"/>
      <c r="L16" s="346" t="s">
        <v>19</v>
      </c>
      <c r="M16" s="347"/>
      <c r="N16" s="347"/>
      <c r="O16" s="348"/>
      <c r="P16" s="346" t="s">
        <v>20</v>
      </c>
      <c r="Q16" s="347"/>
      <c r="R16" s="347"/>
      <c r="S16" s="348"/>
      <c r="T16" s="79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2"/>
    </row>
    <row r="17" spans="2:36" ht="19.899999999999999" hidden="1" customHeight="1" x14ac:dyDescent="0.3">
      <c r="B17" s="85" t="s">
        <v>205</v>
      </c>
      <c r="C17" s="127" t="s">
        <v>24</v>
      </c>
      <c r="D17" s="306"/>
      <c r="E17" s="307"/>
      <c r="F17" s="307"/>
      <c r="G17" s="307"/>
      <c r="H17" s="306" t="s">
        <v>183</v>
      </c>
      <c r="I17" s="307"/>
      <c r="J17" s="307" t="s">
        <v>183</v>
      </c>
      <c r="K17" s="308"/>
      <c r="L17" s="306" t="s">
        <v>183</v>
      </c>
      <c r="M17" s="307"/>
      <c r="N17" s="307" t="s">
        <v>183</v>
      </c>
      <c r="O17" s="308"/>
      <c r="P17" s="306" t="s">
        <v>183</v>
      </c>
      <c r="Q17" s="307"/>
      <c r="R17" s="307" t="s">
        <v>183</v>
      </c>
      <c r="S17" s="308"/>
      <c r="T17" s="124">
        <v>6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2:36" ht="19.899999999999999" hidden="1" customHeight="1" x14ac:dyDescent="0.3">
      <c r="B18" s="84" t="s">
        <v>206</v>
      </c>
      <c r="C18" s="105" t="s">
        <v>207</v>
      </c>
      <c r="D18" s="306"/>
      <c r="E18" s="307"/>
      <c r="F18" s="307"/>
      <c r="G18" s="307"/>
      <c r="H18" s="306"/>
      <c r="I18" s="307"/>
      <c r="J18" s="307"/>
      <c r="K18" s="308"/>
      <c r="L18" s="306"/>
      <c r="M18" s="307"/>
      <c r="N18" s="307"/>
      <c r="O18" s="308"/>
      <c r="P18" s="306"/>
      <c r="Q18" s="307"/>
      <c r="R18" s="307"/>
      <c r="S18" s="308"/>
      <c r="T18" s="124">
        <v>0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2:36" ht="19.899999999999999" hidden="1" customHeight="1" x14ac:dyDescent="0.3">
      <c r="B19" s="84" t="s">
        <v>208</v>
      </c>
      <c r="C19" s="103" t="s">
        <v>22</v>
      </c>
      <c r="D19" s="306"/>
      <c r="E19" s="307"/>
      <c r="F19" s="307" t="s">
        <v>149</v>
      </c>
      <c r="G19" s="307"/>
      <c r="H19" s="306" t="s">
        <v>183</v>
      </c>
      <c r="I19" s="307"/>
      <c r="J19" s="307" t="s">
        <v>149</v>
      </c>
      <c r="K19" s="308"/>
      <c r="L19" s="306" t="s">
        <v>183</v>
      </c>
      <c r="M19" s="307"/>
      <c r="N19" s="307" t="s">
        <v>149</v>
      </c>
      <c r="O19" s="308"/>
      <c r="P19" s="306" t="s">
        <v>149</v>
      </c>
      <c r="Q19" s="307"/>
      <c r="R19" s="307" t="s">
        <v>149</v>
      </c>
      <c r="S19" s="308"/>
      <c r="T19" s="123">
        <v>7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2:36" ht="19.899999999999999" hidden="1" customHeight="1" x14ac:dyDescent="0.3">
      <c r="B20" s="84" t="s">
        <v>209</v>
      </c>
      <c r="C20" s="103" t="s">
        <v>22</v>
      </c>
      <c r="D20" s="306"/>
      <c r="E20" s="307"/>
      <c r="F20" s="307"/>
      <c r="G20" s="307"/>
      <c r="H20" s="306"/>
      <c r="I20" s="307"/>
      <c r="J20" s="307"/>
      <c r="K20" s="308"/>
      <c r="L20" s="306"/>
      <c r="M20" s="307"/>
      <c r="N20" s="307"/>
      <c r="O20" s="308"/>
      <c r="P20" s="306"/>
      <c r="Q20" s="307"/>
      <c r="R20" s="307"/>
      <c r="S20" s="308"/>
      <c r="T20" s="123">
        <v>0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2:36" ht="19.899999999999999" hidden="1" customHeight="1" x14ac:dyDescent="0.3">
      <c r="B21" s="84" t="s">
        <v>210</v>
      </c>
      <c r="C21" s="105" t="s">
        <v>207</v>
      </c>
      <c r="D21" s="306"/>
      <c r="E21" s="307"/>
      <c r="F21" s="307"/>
      <c r="G21" s="307"/>
      <c r="H21" s="306"/>
      <c r="I21" s="307"/>
      <c r="J21" s="307"/>
      <c r="K21" s="308"/>
      <c r="L21" s="306"/>
      <c r="M21" s="307"/>
      <c r="N21" s="307"/>
      <c r="O21" s="308"/>
      <c r="P21" s="306"/>
      <c r="Q21" s="307"/>
      <c r="R21" s="307"/>
      <c r="S21" s="308"/>
      <c r="T21" s="123">
        <v>0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2:36" ht="19.899999999999999" hidden="1" customHeight="1" x14ac:dyDescent="0.3">
      <c r="B22" s="84" t="s">
        <v>211</v>
      </c>
      <c r="C22" s="103" t="s">
        <v>22</v>
      </c>
      <c r="D22" s="306" t="s">
        <v>183</v>
      </c>
      <c r="E22" s="307"/>
      <c r="F22" s="307"/>
      <c r="G22" s="307"/>
      <c r="H22" s="306" t="s">
        <v>183</v>
      </c>
      <c r="I22" s="307"/>
      <c r="J22" s="307" t="s">
        <v>183</v>
      </c>
      <c r="K22" s="308"/>
      <c r="L22" s="306" t="s">
        <v>183</v>
      </c>
      <c r="M22" s="307"/>
      <c r="N22" s="307" t="s">
        <v>183</v>
      </c>
      <c r="O22" s="308"/>
      <c r="P22" s="306" t="s">
        <v>149</v>
      </c>
      <c r="Q22" s="307"/>
      <c r="R22" s="307"/>
      <c r="S22" s="308"/>
      <c r="T22" s="123">
        <v>6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2:36" ht="19.899999999999999" hidden="1" customHeight="1" x14ac:dyDescent="0.3">
      <c r="B23" s="84" t="s">
        <v>212</v>
      </c>
      <c r="C23" s="105" t="s">
        <v>207</v>
      </c>
      <c r="D23" s="306"/>
      <c r="E23" s="307"/>
      <c r="F23" s="307"/>
      <c r="G23" s="307"/>
      <c r="H23" s="306"/>
      <c r="I23" s="307"/>
      <c r="J23" s="307"/>
      <c r="K23" s="308"/>
      <c r="L23" s="306" t="s">
        <v>213</v>
      </c>
      <c r="M23" s="307"/>
      <c r="N23" s="307" t="s">
        <v>213</v>
      </c>
      <c r="O23" s="308"/>
      <c r="P23" s="306" t="s">
        <v>183</v>
      </c>
      <c r="Q23" s="307"/>
      <c r="R23" s="307" t="s">
        <v>183</v>
      </c>
      <c r="S23" s="308"/>
      <c r="T23" s="123">
        <v>4</v>
      </c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2:36" ht="19.899999999999999" hidden="1" customHeight="1" x14ac:dyDescent="0.3">
      <c r="B24" s="84" t="s">
        <v>214</v>
      </c>
      <c r="C24" s="105" t="s">
        <v>215</v>
      </c>
      <c r="D24" s="306"/>
      <c r="E24" s="307"/>
      <c r="F24" s="307"/>
      <c r="G24" s="307"/>
      <c r="H24" s="306" t="s">
        <v>149</v>
      </c>
      <c r="I24" s="307"/>
      <c r="J24" s="307"/>
      <c r="K24" s="308"/>
      <c r="L24" s="306" t="s">
        <v>149</v>
      </c>
      <c r="M24" s="307"/>
      <c r="N24" s="307" t="s">
        <v>183</v>
      </c>
      <c r="O24" s="308"/>
      <c r="P24" s="306" t="s">
        <v>183</v>
      </c>
      <c r="Q24" s="307"/>
      <c r="R24" s="307" t="s">
        <v>183</v>
      </c>
      <c r="S24" s="308"/>
      <c r="T24" s="123">
        <v>5</v>
      </c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2:36" ht="19.899999999999999" hidden="1" customHeight="1" x14ac:dyDescent="0.3">
      <c r="B25" s="84" t="s">
        <v>216</v>
      </c>
      <c r="C25" s="103" t="s">
        <v>22</v>
      </c>
      <c r="D25" s="306"/>
      <c r="E25" s="307"/>
      <c r="F25" s="307"/>
      <c r="G25" s="307"/>
      <c r="H25" s="306"/>
      <c r="I25" s="307"/>
      <c r="J25" s="307"/>
      <c r="K25" s="308"/>
      <c r="L25" s="306" t="s">
        <v>183</v>
      </c>
      <c r="M25" s="307"/>
      <c r="N25" s="307" t="s">
        <v>183</v>
      </c>
      <c r="O25" s="308"/>
      <c r="P25" s="306"/>
      <c r="Q25" s="307"/>
      <c r="R25" s="307"/>
      <c r="S25" s="308"/>
      <c r="T25" s="123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2:36" ht="19.899999999999999" hidden="1" customHeight="1" x14ac:dyDescent="0.3">
      <c r="B26" s="84" t="s">
        <v>217</v>
      </c>
      <c r="C26" s="102" t="s">
        <v>218</v>
      </c>
      <c r="D26" s="306"/>
      <c r="E26" s="307"/>
      <c r="F26" s="307"/>
      <c r="G26" s="307"/>
      <c r="H26" s="306" t="s">
        <v>149</v>
      </c>
      <c r="I26" s="307"/>
      <c r="J26" s="307" t="s">
        <v>149</v>
      </c>
      <c r="K26" s="308"/>
      <c r="L26" s="306" t="s">
        <v>183</v>
      </c>
      <c r="M26" s="307"/>
      <c r="N26" s="307" t="s">
        <v>149</v>
      </c>
      <c r="O26" s="308"/>
      <c r="P26" s="306" t="s">
        <v>183</v>
      </c>
      <c r="Q26" s="307"/>
      <c r="R26" s="307" t="s">
        <v>183</v>
      </c>
      <c r="S26" s="308"/>
      <c r="T26" s="123">
        <v>4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2:36" ht="19.899999999999999" hidden="1" customHeight="1" x14ac:dyDescent="0.3">
      <c r="B27" s="85" t="s">
        <v>219</v>
      </c>
      <c r="C27" s="115" t="s">
        <v>26</v>
      </c>
      <c r="D27" s="306"/>
      <c r="E27" s="307"/>
      <c r="F27" s="307"/>
      <c r="G27" s="307"/>
      <c r="H27" s="306"/>
      <c r="I27" s="307"/>
      <c r="J27" s="307"/>
      <c r="K27" s="308"/>
      <c r="L27" s="306" t="s">
        <v>183</v>
      </c>
      <c r="M27" s="307"/>
      <c r="N27" s="307" t="s">
        <v>183</v>
      </c>
      <c r="O27" s="308"/>
      <c r="P27" s="306" t="s">
        <v>183</v>
      </c>
      <c r="Q27" s="307"/>
      <c r="R27" s="307" t="s">
        <v>183</v>
      </c>
      <c r="S27" s="308"/>
      <c r="T27" s="123">
        <v>4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2:36" ht="19.899999999999999" hidden="1" customHeight="1" x14ac:dyDescent="0.3">
      <c r="B28" s="84" t="s">
        <v>220</v>
      </c>
      <c r="C28" s="103" t="s">
        <v>22</v>
      </c>
      <c r="D28" s="306"/>
      <c r="E28" s="307"/>
      <c r="F28" s="307"/>
      <c r="G28" s="307"/>
      <c r="H28" s="306"/>
      <c r="I28" s="307"/>
      <c r="J28" s="307"/>
      <c r="K28" s="308"/>
      <c r="L28" s="306" t="s">
        <v>183</v>
      </c>
      <c r="M28" s="307"/>
      <c r="N28" s="307" t="s">
        <v>183</v>
      </c>
      <c r="O28" s="308"/>
      <c r="P28" s="306" t="s">
        <v>183</v>
      </c>
      <c r="Q28" s="307"/>
      <c r="R28" s="307"/>
      <c r="S28" s="308"/>
      <c r="T28" s="123">
        <v>3</v>
      </c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2:36" ht="19.899999999999999" hidden="1" customHeight="1" x14ac:dyDescent="0.3">
      <c r="B29" s="84" t="s">
        <v>221</v>
      </c>
      <c r="C29" s="105" t="s">
        <v>222</v>
      </c>
      <c r="D29" s="306"/>
      <c r="E29" s="307"/>
      <c r="F29" s="307"/>
      <c r="G29" s="307"/>
      <c r="H29" s="306" t="s">
        <v>149</v>
      </c>
      <c r="I29" s="307"/>
      <c r="J29" s="307" t="s">
        <v>183</v>
      </c>
      <c r="K29" s="308"/>
      <c r="L29" s="306" t="s">
        <v>183</v>
      </c>
      <c r="M29" s="307"/>
      <c r="N29" s="307" t="s">
        <v>149</v>
      </c>
      <c r="O29" s="308"/>
      <c r="P29" s="306" t="s">
        <v>183</v>
      </c>
      <c r="Q29" s="307"/>
      <c r="R29" s="307" t="s">
        <v>183</v>
      </c>
      <c r="S29" s="308"/>
      <c r="T29" s="123">
        <v>6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2:36" ht="19.899999999999999" hidden="1" customHeight="1" x14ac:dyDescent="0.3">
      <c r="B30" s="84" t="s">
        <v>223</v>
      </c>
      <c r="C30" s="103" t="s">
        <v>22</v>
      </c>
      <c r="D30" s="306"/>
      <c r="E30" s="307"/>
      <c r="F30" s="307"/>
      <c r="G30" s="307"/>
      <c r="H30" s="306"/>
      <c r="I30" s="307"/>
      <c r="J30" s="307"/>
      <c r="K30" s="308"/>
      <c r="L30" s="306" t="s">
        <v>183</v>
      </c>
      <c r="M30" s="307"/>
      <c r="N30" s="307" t="s">
        <v>183</v>
      </c>
      <c r="O30" s="308"/>
      <c r="P30" s="306" t="s">
        <v>183</v>
      </c>
      <c r="Q30" s="307"/>
      <c r="R30" s="307" t="s">
        <v>183</v>
      </c>
      <c r="S30" s="308"/>
      <c r="T30" s="123">
        <v>4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2:36" ht="19.899999999999999" hidden="1" customHeight="1" x14ac:dyDescent="0.3">
      <c r="B31" s="84" t="s">
        <v>224</v>
      </c>
      <c r="C31" s="104" t="s">
        <v>28</v>
      </c>
      <c r="D31" s="306"/>
      <c r="E31" s="307"/>
      <c r="F31" s="307"/>
      <c r="G31" s="307"/>
      <c r="H31" s="306" t="s">
        <v>183</v>
      </c>
      <c r="I31" s="307"/>
      <c r="J31" s="307" t="s">
        <v>149</v>
      </c>
      <c r="K31" s="308"/>
      <c r="L31" s="306" t="s">
        <v>149</v>
      </c>
      <c r="M31" s="307"/>
      <c r="N31" s="307" t="s">
        <v>183</v>
      </c>
      <c r="O31" s="308"/>
      <c r="P31" s="306" t="s">
        <v>149</v>
      </c>
      <c r="Q31" s="307"/>
      <c r="R31" s="307" t="s">
        <v>183</v>
      </c>
      <c r="S31" s="308"/>
      <c r="T31" s="123">
        <v>6</v>
      </c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2:36" ht="19.899999999999999" hidden="1" customHeight="1" x14ac:dyDescent="0.3">
      <c r="B32" s="84" t="s">
        <v>225</v>
      </c>
      <c r="C32" s="103" t="s">
        <v>22</v>
      </c>
      <c r="D32" s="306"/>
      <c r="E32" s="307"/>
      <c r="F32" s="307" t="s">
        <v>183</v>
      </c>
      <c r="G32" s="307"/>
      <c r="H32" s="306" t="s">
        <v>183</v>
      </c>
      <c r="I32" s="307"/>
      <c r="J32" s="307" t="s">
        <v>183</v>
      </c>
      <c r="K32" s="308"/>
      <c r="L32" s="306" t="s">
        <v>183</v>
      </c>
      <c r="M32" s="307"/>
      <c r="N32" s="307" t="s">
        <v>183</v>
      </c>
      <c r="O32" s="308"/>
      <c r="P32" s="306" t="s">
        <v>183</v>
      </c>
      <c r="Q32" s="307"/>
      <c r="R32" s="307" t="s">
        <v>183</v>
      </c>
      <c r="S32" s="308"/>
      <c r="T32" s="123">
        <v>7</v>
      </c>
      <c r="U32" s="283"/>
      <c r="V32" s="284"/>
      <c r="W32" s="284"/>
      <c r="X32" s="284"/>
      <c r="Y32" s="284"/>
      <c r="Z32" s="284"/>
      <c r="AA32" s="284"/>
      <c r="AB32" s="284"/>
      <c r="AC32" s="285"/>
      <c r="AD32" s="7"/>
      <c r="AE32" s="7"/>
      <c r="AF32" s="7"/>
      <c r="AG32" s="7"/>
      <c r="AH32" s="7"/>
      <c r="AI32" s="7"/>
      <c r="AJ32" s="7"/>
    </row>
    <row r="33" spans="2:36" ht="19.899999999999999" hidden="1" customHeight="1" x14ac:dyDescent="0.3">
      <c r="B33" s="84" t="s">
        <v>226</v>
      </c>
      <c r="C33" s="104" t="s">
        <v>28</v>
      </c>
      <c r="D33" s="306"/>
      <c r="E33" s="307"/>
      <c r="F33" s="307"/>
      <c r="G33" s="307"/>
      <c r="H33" s="306" t="s">
        <v>183</v>
      </c>
      <c r="I33" s="307"/>
      <c r="J33" s="307" t="s">
        <v>183</v>
      </c>
      <c r="K33" s="308"/>
      <c r="L33" s="306" t="s">
        <v>183</v>
      </c>
      <c r="M33" s="307"/>
      <c r="N33" s="307" t="s">
        <v>183</v>
      </c>
      <c r="O33" s="308"/>
      <c r="P33" s="306" t="s">
        <v>183</v>
      </c>
      <c r="Q33" s="307"/>
      <c r="R33" s="307" t="s">
        <v>183</v>
      </c>
      <c r="S33" s="308"/>
      <c r="T33" s="123">
        <v>6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2:36" ht="19.899999999999999" hidden="1" customHeight="1" x14ac:dyDescent="0.3">
      <c r="B34" s="85" t="s">
        <v>227</v>
      </c>
      <c r="C34" s="127" t="s">
        <v>24</v>
      </c>
      <c r="D34" s="306" t="s">
        <v>149</v>
      </c>
      <c r="E34" s="307"/>
      <c r="F34" s="307"/>
      <c r="G34" s="307"/>
      <c r="H34" s="306"/>
      <c r="I34" s="307"/>
      <c r="J34" s="307" t="s">
        <v>149</v>
      </c>
      <c r="K34" s="308"/>
      <c r="L34" s="306" t="s">
        <v>149</v>
      </c>
      <c r="M34" s="307"/>
      <c r="N34" s="307" t="s">
        <v>149</v>
      </c>
      <c r="O34" s="308"/>
      <c r="P34" s="306" t="s">
        <v>183</v>
      </c>
      <c r="Q34" s="307"/>
      <c r="R34" s="307" t="s">
        <v>183</v>
      </c>
      <c r="S34" s="308"/>
      <c r="T34" s="123">
        <v>6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2:36" ht="19.899999999999999" hidden="1" customHeight="1" x14ac:dyDescent="0.3">
      <c r="B35" s="84" t="s">
        <v>228</v>
      </c>
      <c r="C35" s="104" t="s">
        <v>28</v>
      </c>
      <c r="D35" s="306"/>
      <c r="E35" s="307"/>
      <c r="F35" s="307"/>
      <c r="G35" s="307"/>
      <c r="H35" s="306" t="s">
        <v>183</v>
      </c>
      <c r="I35" s="307"/>
      <c r="J35" s="307" t="s">
        <v>183</v>
      </c>
      <c r="K35" s="308"/>
      <c r="L35" s="306" t="s">
        <v>183</v>
      </c>
      <c r="M35" s="307"/>
      <c r="N35" s="307" t="s">
        <v>183</v>
      </c>
      <c r="O35" s="308"/>
      <c r="P35" s="306" t="s">
        <v>183</v>
      </c>
      <c r="Q35" s="307"/>
      <c r="R35" s="307" t="s">
        <v>183</v>
      </c>
      <c r="S35" s="308"/>
      <c r="T35" s="123">
        <v>6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2:36" ht="19.899999999999999" hidden="1" customHeight="1" x14ac:dyDescent="0.3">
      <c r="B36" s="84" t="s">
        <v>229</v>
      </c>
      <c r="C36" s="105" t="s">
        <v>230</v>
      </c>
      <c r="D36" s="306"/>
      <c r="E36" s="307"/>
      <c r="F36" s="307"/>
      <c r="G36" s="307"/>
      <c r="H36" s="306" t="s">
        <v>183</v>
      </c>
      <c r="I36" s="307"/>
      <c r="J36" s="307" t="s">
        <v>183</v>
      </c>
      <c r="K36" s="308"/>
      <c r="L36" s="306" t="s">
        <v>183</v>
      </c>
      <c r="M36" s="307"/>
      <c r="N36" s="307" t="s">
        <v>183</v>
      </c>
      <c r="O36" s="308"/>
      <c r="P36" s="306" t="s">
        <v>183</v>
      </c>
      <c r="Q36" s="307"/>
      <c r="R36" s="307" t="s">
        <v>183</v>
      </c>
      <c r="S36" s="308"/>
      <c r="T36" s="123">
        <v>6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2:36" ht="19.899999999999999" hidden="1" customHeight="1" x14ac:dyDescent="0.3">
      <c r="B37" s="84" t="s">
        <v>231</v>
      </c>
      <c r="C37" s="103" t="s">
        <v>22</v>
      </c>
      <c r="D37" s="306"/>
      <c r="E37" s="307"/>
      <c r="F37" s="307"/>
      <c r="G37" s="307"/>
      <c r="H37" s="306" t="s">
        <v>149</v>
      </c>
      <c r="I37" s="307"/>
      <c r="J37" s="307" t="s">
        <v>183</v>
      </c>
      <c r="K37" s="308"/>
      <c r="L37" s="306" t="s">
        <v>183</v>
      </c>
      <c r="M37" s="307"/>
      <c r="N37" s="307" t="s">
        <v>183</v>
      </c>
      <c r="O37" s="308"/>
      <c r="P37" s="306" t="s">
        <v>183</v>
      </c>
      <c r="Q37" s="307"/>
      <c r="R37" s="307" t="s">
        <v>183</v>
      </c>
      <c r="S37" s="308"/>
      <c r="T37" s="123">
        <v>6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2:36" ht="19.899999999999999" hidden="1" customHeight="1" x14ac:dyDescent="0.3">
      <c r="B38" s="85" t="s">
        <v>232</v>
      </c>
      <c r="C38" s="104" t="s">
        <v>28</v>
      </c>
      <c r="D38" s="306"/>
      <c r="E38" s="307"/>
      <c r="F38" s="307"/>
      <c r="G38" s="307"/>
      <c r="H38" s="306" t="s">
        <v>183</v>
      </c>
      <c r="I38" s="307"/>
      <c r="J38" s="307" t="s">
        <v>183</v>
      </c>
      <c r="K38" s="308"/>
      <c r="L38" s="306" t="s">
        <v>149</v>
      </c>
      <c r="M38" s="307"/>
      <c r="N38" s="307" t="s">
        <v>183</v>
      </c>
      <c r="O38" s="308"/>
      <c r="P38" s="306" t="s">
        <v>183</v>
      </c>
      <c r="Q38" s="307"/>
      <c r="R38" s="307" t="s">
        <v>183</v>
      </c>
      <c r="S38" s="308"/>
      <c r="T38" s="123">
        <v>6</v>
      </c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2:36" ht="19.899999999999999" hidden="1" customHeight="1" thickBot="1" x14ac:dyDescent="0.35">
      <c r="B39" s="85"/>
      <c r="C39" s="115"/>
      <c r="D39" s="312"/>
      <c r="E39" s="313"/>
      <c r="F39" s="313"/>
      <c r="G39" s="313"/>
      <c r="H39" s="312"/>
      <c r="I39" s="313"/>
      <c r="J39" s="313"/>
      <c r="K39" s="317"/>
      <c r="L39" s="312"/>
      <c r="M39" s="313"/>
      <c r="N39" s="313"/>
      <c r="O39" s="317"/>
      <c r="P39" s="312"/>
      <c r="Q39" s="313"/>
      <c r="R39" s="313"/>
      <c r="S39" s="317"/>
      <c r="T39" s="122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2:36" ht="19.899999999999999" hidden="1" customHeight="1" x14ac:dyDescent="0.3">
      <c r="B40" s="74"/>
      <c r="C40" s="74"/>
      <c r="V40" s="3">
        <v>176</v>
      </c>
    </row>
    <row r="41" spans="2:36" ht="19.899999999999999" hidden="1" customHeight="1" thickBot="1" x14ac:dyDescent="0.35">
      <c r="B41" s="335" t="s">
        <v>204</v>
      </c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  <c r="P41" s="335"/>
      <c r="Q41" s="335"/>
      <c r="R41" s="335"/>
      <c r="S41" s="335"/>
      <c r="T41" s="335"/>
      <c r="U41" s="335"/>
      <c r="V41" s="335"/>
      <c r="W41" s="335"/>
      <c r="X41" s="335"/>
      <c r="Y41" s="335"/>
      <c r="Z41" s="335"/>
      <c r="AA41" s="335"/>
      <c r="AB41" s="335"/>
      <c r="AC41" s="335"/>
      <c r="AD41" s="335"/>
      <c r="AE41" s="335"/>
      <c r="AF41" s="335"/>
      <c r="AG41" s="335"/>
      <c r="AH41" s="335"/>
      <c r="AI41" s="335"/>
      <c r="AJ41" s="335"/>
    </row>
    <row r="42" spans="2:36" s="76" customFormat="1" ht="19.899999999999999" hidden="1" customHeight="1" x14ac:dyDescent="0.3">
      <c r="B42" s="240">
        <v>46082</v>
      </c>
      <c r="C42" s="309" t="s">
        <v>17</v>
      </c>
      <c r="D42" s="349" t="s">
        <v>5</v>
      </c>
      <c r="E42" s="350"/>
      <c r="F42" s="350"/>
      <c r="G42" s="350"/>
      <c r="H42" s="349" t="s">
        <v>6</v>
      </c>
      <c r="I42" s="350"/>
      <c r="J42" s="350"/>
      <c r="K42" s="351"/>
      <c r="L42" s="349" t="s">
        <v>7</v>
      </c>
      <c r="M42" s="350"/>
      <c r="N42" s="350"/>
      <c r="O42" s="351"/>
      <c r="P42" s="349" t="s">
        <v>8</v>
      </c>
      <c r="Q42" s="350"/>
      <c r="R42" s="350"/>
      <c r="S42" s="351"/>
      <c r="T42" s="89"/>
      <c r="U42" s="9"/>
      <c r="V42" s="9"/>
      <c r="W42" s="9"/>
      <c r="X42" s="9"/>
      <c r="Y42" s="9"/>
      <c r="Z42" s="9"/>
      <c r="AA42" s="9"/>
      <c r="AB42" s="9" t="str">
        <f>IF(DAY(FebSun1)=1,IF(AND(YEAR(FebSun1+22)=CalendarYear,MONTH(FebSun1+22)=2),FebSun1+22,""),IF(AND(YEAR(FebSun1+29)=CalendarYear,MONTH(FebSun1+29)=2),FebSun1+29,""))</f>
        <v/>
      </c>
      <c r="AC42" s="9" t="str">
        <f>IF(DAY(FebSun1)=1,IF(AND(YEAR(FebSun1+23)=CalendarYear,MONTH(FebSun1+23)=2),FebSun1+23,""),IF(AND(YEAR(FebSun1+30)=CalendarYear,MONTH(FebSun1+30)=2),FebSun1+30,""))</f>
        <v/>
      </c>
      <c r="AD42" s="9" t="str">
        <f>IF(DAY(FebSun1)=1,IF(AND(YEAR(FebSun1+24)=CalendarYear,MONTH(FebSun1+24)=2),FebSun1+24,""),IF(AND(YEAR(FebSun1+31)=CalendarYear,MONTH(FebSun1+31)=2),FebSun1+31,""))</f>
        <v/>
      </c>
      <c r="AE42" s="9" t="str">
        <f>IF(DAY(FebSun1)=1,IF(AND(YEAR(FebSun1+25)=CalendarYear,MONTH(FebSun1+25)=2),FebSun1+25,""),IF(AND(YEAR(FebSun1+32)=CalendarYear,MONTH(FebSun1+32)=2),FebSun1+32,""))</f>
        <v/>
      </c>
      <c r="AF42" s="9" t="str">
        <f>IF(DAY(FebSun1)=1,IF(AND(YEAR(FebSun1+26)=CalendarYear,MONTH(FebSun1+26)=2),FebSun1+26,""),IF(AND(YEAR(FebSun1+33)=CalendarYear,MONTH(FebSun1+33)=2),FebSun1+33,""))</f>
        <v/>
      </c>
      <c r="AG42" s="9" t="str">
        <f>IF(DAY(FebSun1)=1,IF(AND(YEAR(FebSun1+27)=CalendarYear,MONTH(FebSun1+27)=2),FebSun1+27,""),IF(AND(YEAR(FebSun1+34)=CalendarYear,MONTH(FebSun1+34)=2),FebSun1+34,""))</f>
        <v/>
      </c>
      <c r="AH42" s="9" t="str">
        <f>IF(DAY(FebSun1)=1,IF(AND(YEAR(FebSun1+28)=CalendarYear,MONTH(FebSun1+28)=2),FebSun1+28,""),IF(AND(YEAR(FebSun1+35)=CalendarYear,MONTH(FebSun1+35)=2),FebSun1+35,""))</f>
        <v/>
      </c>
      <c r="AI42" s="9" t="str">
        <f>IF(DAY(FebSun1)=1,IF(AND(YEAR(FebSun1+29)=CalendarYear,MONTH(FebSun1+29)=2),FebSun1+29,""),IF(AND(YEAR(FebSun1+36)=CalendarYear,MONTH(FebSun1+36)=2),FebSun1+36,""))</f>
        <v/>
      </c>
      <c r="AJ42" s="11" t="str">
        <f>IF(DAY(FebSun1)=1,IF(AND(YEAR(FebSun1+30)=CalendarYear,MONTH(FebSun1+30)=2),FebSun1+30,""),IF(AND(YEAR(FebSun1+37)=CalendarYear,MONTH(FebSun1+37)=2),FebSun1+37,""))</f>
        <v/>
      </c>
    </row>
    <row r="43" spans="2:36" s="76" customFormat="1" ht="19.899999999999999" hidden="1" customHeight="1" x14ac:dyDescent="0.3">
      <c r="B43" s="239"/>
      <c r="C43" s="309"/>
      <c r="D43" s="318" t="s">
        <v>33</v>
      </c>
      <c r="E43" s="319"/>
      <c r="F43" s="319"/>
      <c r="G43" s="320"/>
      <c r="H43" s="318" t="s">
        <v>34</v>
      </c>
      <c r="I43" s="319"/>
      <c r="J43" s="319"/>
      <c r="K43" s="321"/>
      <c r="L43" s="318" t="s">
        <v>35</v>
      </c>
      <c r="M43" s="319"/>
      <c r="N43" s="319"/>
      <c r="O43" s="321"/>
      <c r="P43" s="318" t="s">
        <v>36</v>
      </c>
      <c r="Q43" s="319"/>
      <c r="R43" s="319"/>
      <c r="S43" s="321"/>
      <c r="T43" s="79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2"/>
    </row>
    <row r="44" spans="2:36" ht="19.899999999999999" hidden="1" customHeight="1" x14ac:dyDescent="0.3">
      <c r="B44" s="85" t="s">
        <v>205</v>
      </c>
      <c r="C44" s="139" t="s">
        <v>24</v>
      </c>
      <c r="D44" s="306" t="s">
        <v>183</v>
      </c>
      <c r="E44" s="307"/>
      <c r="F44" s="307" t="s">
        <v>183</v>
      </c>
      <c r="G44" s="307"/>
      <c r="H44" s="306" t="s">
        <v>183</v>
      </c>
      <c r="I44" s="307"/>
      <c r="J44" s="307" t="s">
        <v>183</v>
      </c>
      <c r="K44" s="308"/>
      <c r="L44" s="306" t="s">
        <v>183</v>
      </c>
      <c r="M44" s="307"/>
      <c r="N44" s="307" t="s">
        <v>183</v>
      </c>
      <c r="O44" s="308"/>
      <c r="P44" s="306"/>
      <c r="Q44" s="307"/>
      <c r="R44" s="307"/>
      <c r="S44" s="308"/>
      <c r="T44" s="124">
        <f t="shared" ref="T44:T65" si="0">COUNTA(D44:S44)</f>
        <v>6</v>
      </c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2:36" ht="19.899999999999999" hidden="1" customHeight="1" x14ac:dyDescent="0.3">
      <c r="B45" s="84" t="s">
        <v>206</v>
      </c>
      <c r="C45" s="105" t="s">
        <v>30</v>
      </c>
      <c r="D45" s="306"/>
      <c r="E45" s="307"/>
      <c r="F45" s="307"/>
      <c r="G45" s="307"/>
      <c r="H45" s="306"/>
      <c r="I45" s="307"/>
      <c r="J45" s="307"/>
      <c r="K45" s="308"/>
      <c r="L45" s="306"/>
      <c r="M45" s="307"/>
      <c r="N45" s="307"/>
      <c r="O45" s="308"/>
      <c r="P45" s="306"/>
      <c r="Q45" s="307"/>
      <c r="R45" s="307"/>
      <c r="S45" s="308"/>
      <c r="T45" s="142">
        <f t="shared" si="0"/>
        <v>0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2:36" ht="19.899999999999999" hidden="1" customHeight="1" x14ac:dyDescent="0.3">
      <c r="B46" s="84" t="s">
        <v>208</v>
      </c>
      <c r="C46" s="102" t="s">
        <v>22</v>
      </c>
      <c r="D46" s="306" t="s">
        <v>149</v>
      </c>
      <c r="E46" s="307"/>
      <c r="F46" s="307" t="s">
        <v>149</v>
      </c>
      <c r="G46" s="307"/>
      <c r="H46" s="306" t="s">
        <v>149</v>
      </c>
      <c r="I46" s="307"/>
      <c r="J46" s="307" t="s">
        <v>183</v>
      </c>
      <c r="K46" s="308"/>
      <c r="L46" s="306" t="s">
        <v>183</v>
      </c>
      <c r="M46" s="307"/>
      <c r="N46" s="307" t="s">
        <v>183</v>
      </c>
      <c r="O46" s="308"/>
      <c r="P46" s="343"/>
      <c r="Q46" s="344"/>
      <c r="R46" s="344"/>
      <c r="S46" s="345"/>
      <c r="T46" s="143">
        <f t="shared" si="0"/>
        <v>6</v>
      </c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2:36" ht="19.899999999999999" hidden="1" customHeight="1" x14ac:dyDescent="0.3">
      <c r="B47" s="84" t="s">
        <v>209</v>
      </c>
      <c r="C47" s="102" t="s">
        <v>22</v>
      </c>
      <c r="D47" s="306"/>
      <c r="E47" s="307"/>
      <c r="F47" s="307"/>
      <c r="G47" s="307"/>
      <c r="H47" s="306"/>
      <c r="I47" s="307"/>
      <c r="J47" s="307"/>
      <c r="K47" s="308"/>
      <c r="L47" s="306"/>
      <c r="M47" s="307"/>
      <c r="N47" s="307" t="s">
        <v>183</v>
      </c>
      <c r="O47" s="308"/>
      <c r="P47" s="306" t="s">
        <v>183</v>
      </c>
      <c r="Q47" s="307"/>
      <c r="R47" s="307" t="s">
        <v>183</v>
      </c>
      <c r="S47" s="308"/>
      <c r="T47" s="143">
        <f t="shared" si="0"/>
        <v>3</v>
      </c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2:36" ht="19.899999999999999" hidden="1" customHeight="1" x14ac:dyDescent="0.3">
      <c r="B48" s="84" t="s">
        <v>210</v>
      </c>
      <c r="C48" s="105" t="s">
        <v>30</v>
      </c>
      <c r="D48" s="306"/>
      <c r="E48" s="307"/>
      <c r="F48" s="307"/>
      <c r="G48" s="307"/>
      <c r="H48" s="306"/>
      <c r="I48" s="307"/>
      <c r="J48" s="307"/>
      <c r="K48" s="308"/>
      <c r="L48" s="306"/>
      <c r="M48" s="307"/>
      <c r="N48" s="307"/>
      <c r="O48" s="308"/>
      <c r="P48" s="306"/>
      <c r="Q48" s="307"/>
      <c r="R48" s="307"/>
      <c r="S48" s="308"/>
      <c r="T48" s="142">
        <f t="shared" si="0"/>
        <v>0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2:36" ht="19.899999999999999" hidden="1" customHeight="1" x14ac:dyDescent="0.3">
      <c r="B49" s="84" t="s">
        <v>211</v>
      </c>
      <c r="C49" s="102" t="s">
        <v>22</v>
      </c>
      <c r="D49" s="306" t="s">
        <v>183</v>
      </c>
      <c r="E49" s="307"/>
      <c r="F49" s="307" t="s">
        <v>183</v>
      </c>
      <c r="G49" s="307"/>
      <c r="H49" s="306" t="s">
        <v>183</v>
      </c>
      <c r="I49" s="307"/>
      <c r="J49" s="307" t="s">
        <v>183</v>
      </c>
      <c r="K49" s="308"/>
      <c r="L49" s="306" t="s">
        <v>149</v>
      </c>
      <c r="M49" s="307"/>
      <c r="N49" s="307" t="s">
        <v>183</v>
      </c>
      <c r="O49" s="308"/>
      <c r="P49" s="306" t="s">
        <v>183</v>
      </c>
      <c r="Q49" s="307"/>
      <c r="R49" s="307" t="s">
        <v>183</v>
      </c>
      <c r="S49" s="308"/>
      <c r="T49" s="138">
        <f t="shared" si="0"/>
        <v>8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2:36" ht="19.899999999999999" hidden="1" customHeight="1" x14ac:dyDescent="0.3">
      <c r="B50" s="84" t="s">
        <v>212</v>
      </c>
      <c r="C50" s="105" t="s">
        <v>30</v>
      </c>
      <c r="D50" s="306" t="s">
        <v>149</v>
      </c>
      <c r="E50" s="307"/>
      <c r="F50" s="307" t="s">
        <v>183</v>
      </c>
      <c r="G50" s="307"/>
      <c r="H50" s="306" t="s">
        <v>183</v>
      </c>
      <c r="I50" s="307"/>
      <c r="J50" s="307" t="s">
        <v>183</v>
      </c>
      <c r="K50" s="308"/>
      <c r="L50" s="306" t="s">
        <v>183</v>
      </c>
      <c r="M50" s="307"/>
      <c r="N50" s="307" t="s">
        <v>183</v>
      </c>
      <c r="O50" s="308"/>
      <c r="P50" s="306" t="s">
        <v>183</v>
      </c>
      <c r="Q50" s="307"/>
      <c r="R50" s="307" t="s">
        <v>183</v>
      </c>
      <c r="S50" s="308"/>
      <c r="T50" s="142">
        <f t="shared" si="0"/>
        <v>8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2:36" ht="19.899999999999999" hidden="1" customHeight="1" x14ac:dyDescent="0.3">
      <c r="B51" s="84" t="s">
        <v>214</v>
      </c>
      <c r="C51" s="105" t="s">
        <v>233</v>
      </c>
      <c r="D51" s="306"/>
      <c r="E51" s="307"/>
      <c r="F51" s="307"/>
      <c r="G51" s="307"/>
      <c r="H51" s="306" t="s">
        <v>149</v>
      </c>
      <c r="I51" s="307"/>
      <c r="J51" s="307" t="s">
        <v>183</v>
      </c>
      <c r="K51" s="308"/>
      <c r="L51" s="306" t="s">
        <v>183</v>
      </c>
      <c r="M51" s="307"/>
      <c r="N51" s="307" t="s">
        <v>183</v>
      </c>
      <c r="O51" s="308"/>
      <c r="P51" s="343"/>
      <c r="Q51" s="344"/>
      <c r="R51" s="344"/>
      <c r="S51" s="345"/>
      <c r="T51" s="142">
        <f t="shared" si="0"/>
        <v>4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2:36" ht="19.899999999999999" hidden="1" customHeight="1" x14ac:dyDescent="0.3">
      <c r="B52" s="84" t="s">
        <v>216</v>
      </c>
      <c r="C52" s="102" t="s">
        <v>22</v>
      </c>
      <c r="D52" s="306"/>
      <c r="E52" s="307"/>
      <c r="F52" s="307"/>
      <c r="G52" s="307"/>
      <c r="H52" s="306"/>
      <c r="I52" s="307"/>
      <c r="J52" s="307"/>
      <c r="K52" s="308"/>
      <c r="L52" s="306" t="s">
        <v>149</v>
      </c>
      <c r="M52" s="307"/>
      <c r="N52" s="307" t="s">
        <v>183</v>
      </c>
      <c r="O52" s="308"/>
      <c r="P52" s="306"/>
      <c r="Q52" s="307"/>
      <c r="R52" s="307"/>
      <c r="S52" s="308"/>
      <c r="T52" s="143">
        <f t="shared" si="0"/>
        <v>2</v>
      </c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2:36" ht="19.899999999999999" hidden="1" customHeight="1" x14ac:dyDescent="0.3">
      <c r="B53" s="84" t="s">
        <v>217</v>
      </c>
      <c r="C53" s="105" t="s">
        <v>233</v>
      </c>
      <c r="D53" s="306" t="s">
        <v>183</v>
      </c>
      <c r="E53" s="307"/>
      <c r="F53" s="307" t="s">
        <v>183</v>
      </c>
      <c r="G53" s="307"/>
      <c r="H53" s="306" t="s">
        <v>183</v>
      </c>
      <c r="I53" s="307"/>
      <c r="J53" s="307" t="s">
        <v>183</v>
      </c>
      <c r="K53" s="308"/>
      <c r="L53" s="306" t="s">
        <v>183</v>
      </c>
      <c r="M53" s="307"/>
      <c r="N53" s="307" t="s">
        <v>183</v>
      </c>
      <c r="O53" s="308"/>
      <c r="P53" s="343"/>
      <c r="Q53" s="344"/>
      <c r="R53" s="344"/>
      <c r="S53" s="345"/>
      <c r="T53" s="142">
        <f t="shared" si="0"/>
        <v>6</v>
      </c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2:36" ht="19.899999999999999" hidden="1" customHeight="1" x14ac:dyDescent="0.3">
      <c r="B54" s="85" t="s">
        <v>219</v>
      </c>
      <c r="C54" s="140" t="s">
        <v>26</v>
      </c>
      <c r="D54" s="306" t="s">
        <v>183</v>
      </c>
      <c r="E54" s="307"/>
      <c r="F54" s="307" t="s">
        <v>183</v>
      </c>
      <c r="G54" s="307"/>
      <c r="H54" s="306" t="s">
        <v>183</v>
      </c>
      <c r="I54" s="307"/>
      <c r="J54" s="307" t="s">
        <v>183</v>
      </c>
      <c r="K54" s="308"/>
      <c r="L54" s="306" t="s">
        <v>149</v>
      </c>
      <c r="M54" s="307"/>
      <c r="N54" s="307" t="s">
        <v>183</v>
      </c>
      <c r="O54" s="308"/>
      <c r="P54" s="306" t="s">
        <v>149</v>
      </c>
      <c r="Q54" s="307"/>
      <c r="R54" s="307" t="s">
        <v>183</v>
      </c>
      <c r="S54" s="308"/>
      <c r="T54" s="124">
        <f t="shared" si="0"/>
        <v>8</v>
      </c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2:36" ht="19.899999999999999" hidden="1" customHeight="1" x14ac:dyDescent="0.3">
      <c r="B55" s="84" t="s">
        <v>220</v>
      </c>
      <c r="C55" s="102" t="s">
        <v>22</v>
      </c>
      <c r="D55" s="306" t="s">
        <v>183</v>
      </c>
      <c r="E55" s="307"/>
      <c r="F55" s="307"/>
      <c r="G55" s="307"/>
      <c r="H55" s="306" t="s">
        <v>183</v>
      </c>
      <c r="I55" s="307"/>
      <c r="J55" s="307" t="s">
        <v>183</v>
      </c>
      <c r="K55" s="308"/>
      <c r="L55" s="306" t="s">
        <v>183</v>
      </c>
      <c r="M55" s="307"/>
      <c r="N55" s="307" t="s">
        <v>183</v>
      </c>
      <c r="O55" s="308"/>
      <c r="P55" s="306" t="s">
        <v>183</v>
      </c>
      <c r="Q55" s="307"/>
      <c r="R55" s="307" t="s">
        <v>183</v>
      </c>
      <c r="S55" s="308"/>
      <c r="T55" s="143">
        <f t="shared" si="0"/>
        <v>7</v>
      </c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2:36" ht="19.899999999999999" hidden="1" customHeight="1" x14ac:dyDescent="0.3">
      <c r="B56" s="84" t="s">
        <v>221</v>
      </c>
      <c r="C56" s="105" t="s">
        <v>233</v>
      </c>
      <c r="D56" s="306" t="s">
        <v>183</v>
      </c>
      <c r="E56" s="307"/>
      <c r="F56" s="307" t="s">
        <v>183</v>
      </c>
      <c r="G56" s="307"/>
      <c r="H56" s="306" t="s">
        <v>183</v>
      </c>
      <c r="I56" s="307"/>
      <c r="J56" s="307" t="s">
        <v>183</v>
      </c>
      <c r="K56" s="308"/>
      <c r="L56" s="306" t="s">
        <v>149</v>
      </c>
      <c r="M56" s="307"/>
      <c r="N56" s="307" t="s">
        <v>183</v>
      </c>
      <c r="O56" s="308"/>
      <c r="P56" s="306" t="s">
        <v>183</v>
      </c>
      <c r="Q56" s="307"/>
      <c r="R56" s="307" t="s">
        <v>183</v>
      </c>
      <c r="S56" s="308"/>
      <c r="T56" s="142">
        <f t="shared" si="0"/>
        <v>8</v>
      </c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2:36" ht="19.899999999999999" hidden="1" customHeight="1" x14ac:dyDescent="0.3">
      <c r="B57" s="84" t="s">
        <v>223</v>
      </c>
      <c r="C57" s="102" t="s">
        <v>22</v>
      </c>
      <c r="D57" s="306" t="s">
        <v>183</v>
      </c>
      <c r="E57" s="307"/>
      <c r="F57" s="307" t="s">
        <v>183</v>
      </c>
      <c r="G57" s="307"/>
      <c r="H57" s="306" t="s">
        <v>183</v>
      </c>
      <c r="I57" s="307"/>
      <c r="J57" s="307" t="s">
        <v>183</v>
      </c>
      <c r="K57" s="308"/>
      <c r="L57" s="306" t="s">
        <v>183</v>
      </c>
      <c r="M57" s="307"/>
      <c r="N57" s="307" t="s">
        <v>183</v>
      </c>
      <c r="O57" s="308"/>
      <c r="P57" s="343"/>
      <c r="Q57" s="344"/>
      <c r="R57" s="344"/>
      <c r="S57" s="345"/>
      <c r="T57" s="143">
        <f t="shared" si="0"/>
        <v>6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2:36" ht="19.899999999999999" hidden="1" customHeight="1" x14ac:dyDescent="0.3">
      <c r="B58" s="84" t="s">
        <v>224</v>
      </c>
      <c r="C58" s="104" t="s">
        <v>28</v>
      </c>
      <c r="D58" s="306" t="s">
        <v>149</v>
      </c>
      <c r="E58" s="307"/>
      <c r="F58" s="307" t="s">
        <v>183</v>
      </c>
      <c r="G58" s="307"/>
      <c r="H58" s="306" t="s">
        <v>183</v>
      </c>
      <c r="I58" s="307"/>
      <c r="J58" s="307" t="s">
        <v>183</v>
      </c>
      <c r="K58" s="308"/>
      <c r="L58" s="306" t="s">
        <v>183</v>
      </c>
      <c r="M58" s="307"/>
      <c r="N58" s="307" t="s">
        <v>149</v>
      </c>
      <c r="O58" s="308"/>
      <c r="P58" s="306" t="s">
        <v>149</v>
      </c>
      <c r="Q58" s="307"/>
      <c r="R58" s="307" t="s">
        <v>183</v>
      </c>
      <c r="S58" s="308"/>
      <c r="T58" s="124">
        <f t="shared" si="0"/>
        <v>8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2:36" ht="19.899999999999999" hidden="1" customHeight="1" x14ac:dyDescent="0.3">
      <c r="B59" s="84" t="s">
        <v>234</v>
      </c>
      <c r="C59" s="102" t="s">
        <v>22</v>
      </c>
      <c r="D59" s="306"/>
      <c r="E59" s="307"/>
      <c r="F59" s="307"/>
      <c r="G59" s="307"/>
      <c r="H59" s="306"/>
      <c r="I59" s="307"/>
      <c r="J59" s="307"/>
      <c r="K59" s="308"/>
      <c r="L59" s="306"/>
      <c r="M59" s="307"/>
      <c r="N59" s="307"/>
      <c r="O59" s="308"/>
      <c r="P59" s="306" t="s">
        <v>183</v>
      </c>
      <c r="Q59" s="307"/>
      <c r="R59" s="307" t="s">
        <v>183</v>
      </c>
      <c r="S59" s="308"/>
      <c r="T59" s="143">
        <f t="shared" si="0"/>
        <v>2</v>
      </c>
      <c r="U59" s="130"/>
      <c r="V59" s="131"/>
      <c r="W59" s="131"/>
      <c r="X59" s="131"/>
      <c r="Y59" s="131"/>
      <c r="Z59" s="131"/>
      <c r="AA59" s="131"/>
      <c r="AB59" s="131"/>
      <c r="AC59" s="132"/>
      <c r="AD59" s="7"/>
      <c r="AE59" s="7"/>
      <c r="AF59" s="7"/>
      <c r="AG59" s="7"/>
      <c r="AH59" s="7"/>
      <c r="AI59" s="7"/>
      <c r="AJ59" s="7"/>
    </row>
    <row r="60" spans="2:36" ht="19.899999999999999" hidden="1" customHeight="1" x14ac:dyDescent="0.3">
      <c r="B60" s="84" t="s">
        <v>226</v>
      </c>
      <c r="C60" s="104" t="s">
        <v>28</v>
      </c>
      <c r="D60" s="306" t="s">
        <v>183</v>
      </c>
      <c r="E60" s="307"/>
      <c r="F60" s="307" t="s">
        <v>183</v>
      </c>
      <c r="G60" s="307"/>
      <c r="H60" s="306" t="s">
        <v>183</v>
      </c>
      <c r="I60" s="307"/>
      <c r="J60" s="307" t="s">
        <v>183</v>
      </c>
      <c r="K60" s="308"/>
      <c r="L60" s="306" t="s">
        <v>183</v>
      </c>
      <c r="M60" s="307"/>
      <c r="N60" s="307" t="s">
        <v>149</v>
      </c>
      <c r="O60" s="308"/>
      <c r="P60" s="306" t="s">
        <v>183</v>
      </c>
      <c r="Q60" s="307"/>
      <c r="R60" s="307" t="s">
        <v>183</v>
      </c>
      <c r="S60" s="308"/>
      <c r="T60" s="124">
        <f t="shared" si="0"/>
        <v>8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2:36" ht="19.899999999999999" hidden="1" customHeight="1" x14ac:dyDescent="0.3">
      <c r="B61" s="85" t="s">
        <v>227</v>
      </c>
      <c r="C61" s="141" t="s">
        <v>24</v>
      </c>
      <c r="D61" s="306" t="s">
        <v>183</v>
      </c>
      <c r="E61" s="307"/>
      <c r="F61" s="307" t="s">
        <v>183</v>
      </c>
      <c r="G61" s="307"/>
      <c r="H61" s="306" t="s">
        <v>183</v>
      </c>
      <c r="I61" s="307"/>
      <c r="J61" s="307" t="s">
        <v>183</v>
      </c>
      <c r="K61" s="308"/>
      <c r="L61" s="343"/>
      <c r="M61" s="344"/>
      <c r="N61" s="344"/>
      <c r="O61" s="345"/>
      <c r="P61" s="306" t="s">
        <v>183</v>
      </c>
      <c r="Q61" s="307"/>
      <c r="R61" s="307" t="s">
        <v>183</v>
      </c>
      <c r="S61" s="308"/>
      <c r="T61" s="124">
        <f t="shared" si="0"/>
        <v>6</v>
      </c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2:36" ht="19.899999999999999" hidden="1" customHeight="1" x14ac:dyDescent="0.3">
      <c r="B62" s="84" t="s">
        <v>228</v>
      </c>
      <c r="C62" s="104" t="s">
        <v>28</v>
      </c>
      <c r="D62" s="306" t="s">
        <v>183</v>
      </c>
      <c r="E62" s="307"/>
      <c r="F62" s="307" t="s">
        <v>183</v>
      </c>
      <c r="G62" s="307"/>
      <c r="H62" s="306" t="s">
        <v>183</v>
      </c>
      <c r="I62" s="307"/>
      <c r="J62" s="307" t="s">
        <v>183</v>
      </c>
      <c r="K62" s="308"/>
      <c r="L62" s="306" t="s">
        <v>183</v>
      </c>
      <c r="M62" s="307"/>
      <c r="N62" s="307" t="s">
        <v>183</v>
      </c>
      <c r="O62" s="308"/>
      <c r="P62" s="306" t="s">
        <v>183</v>
      </c>
      <c r="Q62" s="307"/>
      <c r="R62" s="307" t="s">
        <v>183</v>
      </c>
      <c r="S62" s="308"/>
      <c r="T62" s="124">
        <f t="shared" si="0"/>
        <v>8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2:36" ht="19.899999999999999" hidden="1" customHeight="1" x14ac:dyDescent="0.3">
      <c r="B63" s="84" t="s">
        <v>229</v>
      </c>
      <c r="C63" s="105" t="s">
        <v>233</v>
      </c>
      <c r="D63" s="306" t="s">
        <v>183</v>
      </c>
      <c r="E63" s="307"/>
      <c r="F63" s="307" t="s">
        <v>183</v>
      </c>
      <c r="G63" s="307"/>
      <c r="H63" s="306" t="s">
        <v>183</v>
      </c>
      <c r="I63" s="307"/>
      <c r="J63" s="307" t="s">
        <v>183</v>
      </c>
      <c r="K63" s="308"/>
      <c r="L63" s="306" t="s">
        <v>183</v>
      </c>
      <c r="M63" s="307"/>
      <c r="N63" s="307" t="s">
        <v>183</v>
      </c>
      <c r="O63" s="308"/>
      <c r="P63" s="306" t="s">
        <v>183</v>
      </c>
      <c r="Q63" s="307"/>
      <c r="R63" s="307" t="s">
        <v>183</v>
      </c>
      <c r="S63" s="308"/>
      <c r="T63" s="142">
        <f t="shared" si="0"/>
        <v>8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2:36" ht="19.899999999999999" hidden="1" customHeight="1" x14ac:dyDescent="0.3">
      <c r="B64" s="84" t="s">
        <v>231</v>
      </c>
      <c r="C64" s="102" t="s">
        <v>22</v>
      </c>
      <c r="D64" s="306" t="s">
        <v>183</v>
      </c>
      <c r="E64" s="307"/>
      <c r="F64" s="307" t="s">
        <v>183</v>
      </c>
      <c r="G64" s="307"/>
      <c r="H64" s="306" t="s">
        <v>183</v>
      </c>
      <c r="I64" s="307"/>
      <c r="J64" s="307" t="s">
        <v>183</v>
      </c>
      <c r="K64" s="308"/>
      <c r="L64" s="306" t="s">
        <v>149</v>
      </c>
      <c r="M64" s="307"/>
      <c r="N64" s="307" t="s">
        <v>183</v>
      </c>
      <c r="O64" s="308"/>
      <c r="P64" s="306" t="s">
        <v>183</v>
      </c>
      <c r="Q64" s="307"/>
      <c r="R64" s="307" t="s">
        <v>183</v>
      </c>
      <c r="S64" s="308"/>
      <c r="T64" s="143">
        <f t="shared" si="0"/>
        <v>8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2:36" ht="19.899999999999999" hidden="1" customHeight="1" x14ac:dyDescent="0.3">
      <c r="B65" s="85" t="s">
        <v>232</v>
      </c>
      <c r="C65" s="104" t="s">
        <v>28</v>
      </c>
      <c r="D65" s="306" t="s">
        <v>183</v>
      </c>
      <c r="E65" s="307"/>
      <c r="F65" s="307" t="s">
        <v>183</v>
      </c>
      <c r="G65" s="307"/>
      <c r="H65" s="306" t="s">
        <v>183</v>
      </c>
      <c r="I65" s="307"/>
      <c r="J65" s="307" t="s">
        <v>183</v>
      </c>
      <c r="K65" s="308"/>
      <c r="L65" s="306" t="s">
        <v>149</v>
      </c>
      <c r="M65" s="307"/>
      <c r="N65" s="307" t="s">
        <v>149</v>
      </c>
      <c r="O65" s="308"/>
      <c r="P65" s="306" t="s">
        <v>149</v>
      </c>
      <c r="Q65" s="307"/>
      <c r="R65" s="307" t="s">
        <v>183</v>
      </c>
      <c r="S65" s="308"/>
      <c r="T65" s="124">
        <f t="shared" si="0"/>
        <v>8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2:36" ht="19.899999999999999" hidden="1" customHeight="1" thickBot="1" x14ac:dyDescent="0.35">
      <c r="B66" s="85"/>
      <c r="C66" s="115"/>
      <c r="D66" s="312"/>
      <c r="E66" s="313"/>
      <c r="F66" s="313"/>
      <c r="G66" s="313"/>
      <c r="H66" s="312"/>
      <c r="I66" s="313"/>
      <c r="J66" s="313"/>
      <c r="K66" s="317"/>
      <c r="L66" s="312"/>
      <c r="M66" s="313"/>
      <c r="N66" s="313"/>
      <c r="O66" s="317"/>
      <c r="P66" s="312"/>
      <c r="Q66" s="313"/>
      <c r="R66" s="313"/>
      <c r="S66" s="317"/>
      <c r="T66" s="134">
        <f>SUM(T44:T65)</f>
        <v>128</v>
      </c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2:36" ht="19.899999999999999" hidden="1" customHeight="1" x14ac:dyDescent="0.3">
      <c r="B67" s="110"/>
      <c r="C67" s="111"/>
      <c r="D67" s="120"/>
      <c r="E67" s="17"/>
      <c r="F67" s="17"/>
      <c r="G67" s="17"/>
      <c r="H67" s="120"/>
      <c r="I67" s="17"/>
      <c r="J67" s="17"/>
      <c r="K67" s="121"/>
      <c r="L67" s="120"/>
      <c r="M67" s="17"/>
      <c r="N67" s="17"/>
      <c r="O67" s="121"/>
      <c r="P67" s="120"/>
      <c r="Q67" s="17"/>
      <c r="R67" s="17"/>
      <c r="S67" s="121"/>
      <c r="T67" s="341" t="s">
        <v>192</v>
      </c>
      <c r="U67" s="342"/>
      <c r="V67" s="340">
        <f>T66/176*100</f>
        <v>72.727272727272734</v>
      </c>
      <c r="W67" s="340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2:36" ht="19.899999999999999" customHeight="1" thickBot="1" x14ac:dyDescent="0.35">
      <c r="B68" s="74"/>
      <c r="C68" s="74"/>
      <c r="AF68" s="360" t="s">
        <v>235</v>
      </c>
      <c r="AG68" s="360"/>
      <c r="AH68" s="360"/>
    </row>
    <row r="69" spans="2:36" s="75" customFormat="1" ht="19.899999999999999" customHeight="1" x14ac:dyDescent="0.3">
      <c r="B69" s="211">
        <v>46113</v>
      </c>
      <c r="C69" s="296" t="s">
        <v>17</v>
      </c>
      <c r="D69" s="213" t="s">
        <v>5</v>
      </c>
      <c r="E69" s="214"/>
      <c r="F69" s="214"/>
      <c r="G69" s="214"/>
      <c r="H69" s="213" t="s">
        <v>6</v>
      </c>
      <c r="I69" s="214"/>
      <c r="J69" s="214"/>
      <c r="K69" s="215"/>
      <c r="L69" s="213" t="s">
        <v>7</v>
      </c>
      <c r="M69" s="214"/>
      <c r="N69" s="214"/>
      <c r="O69" s="215"/>
      <c r="P69" s="213" t="s">
        <v>8</v>
      </c>
      <c r="Q69" s="214"/>
      <c r="R69" s="214"/>
      <c r="S69" s="215"/>
      <c r="T69" s="213" t="s">
        <v>39</v>
      </c>
      <c r="U69" s="214"/>
      <c r="V69" s="214"/>
      <c r="W69" s="215"/>
      <c r="X69" s="8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11"/>
    </row>
    <row r="70" spans="2:36" s="75" customFormat="1" ht="19.899999999999999" customHeight="1" x14ac:dyDescent="0.3">
      <c r="B70" s="212"/>
      <c r="C70" s="297"/>
      <c r="D70" s="318" t="s">
        <v>40</v>
      </c>
      <c r="E70" s="319"/>
      <c r="F70" s="319"/>
      <c r="G70" s="320"/>
      <c r="H70" s="318" t="s">
        <v>41</v>
      </c>
      <c r="I70" s="319"/>
      <c r="J70" s="319"/>
      <c r="K70" s="321"/>
      <c r="L70" s="318" t="s">
        <v>42</v>
      </c>
      <c r="M70" s="319"/>
      <c r="N70" s="319"/>
      <c r="O70" s="321"/>
      <c r="P70" s="318" t="s">
        <v>43</v>
      </c>
      <c r="Q70" s="319"/>
      <c r="R70" s="319"/>
      <c r="S70" s="321"/>
      <c r="T70" s="322" t="s">
        <v>44</v>
      </c>
      <c r="U70" s="226"/>
      <c r="V70" s="226"/>
      <c r="W70" s="323"/>
      <c r="X70" s="79"/>
      <c r="Y70" s="10"/>
      <c r="Z70" s="161" t="s">
        <v>196</v>
      </c>
      <c r="AA70" s="161" t="s">
        <v>197</v>
      </c>
      <c r="AB70" s="161" t="s">
        <v>198</v>
      </c>
      <c r="AC70" s="10"/>
      <c r="AD70" s="10"/>
      <c r="AE70" s="10"/>
      <c r="AF70" s="10"/>
      <c r="AG70" s="10"/>
      <c r="AH70" s="10"/>
      <c r="AI70" s="10"/>
      <c r="AJ70" s="12"/>
    </row>
    <row r="71" spans="2:36" ht="19.899999999999999" customHeight="1" x14ac:dyDescent="0.3">
      <c r="B71" s="85" t="s">
        <v>205</v>
      </c>
      <c r="C71" s="115" t="s">
        <v>24</v>
      </c>
      <c r="D71" s="306" t="s">
        <v>183</v>
      </c>
      <c r="E71" s="307"/>
      <c r="F71" s="307" t="s">
        <v>183</v>
      </c>
      <c r="G71" s="307"/>
      <c r="H71" s="343" t="s">
        <v>236</v>
      </c>
      <c r="I71" s="344"/>
      <c r="J71" s="344" t="s">
        <v>236</v>
      </c>
      <c r="K71" s="345"/>
      <c r="L71" s="306" t="s">
        <v>183</v>
      </c>
      <c r="M71" s="307"/>
      <c r="N71" s="307" t="s">
        <v>183</v>
      </c>
      <c r="O71" s="308"/>
      <c r="P71" s="306" t="s">
        <v>183</v>
      </c>
      <c r="Q71" s="307"/>
      <c r="R71" s="307" t="s">
        <v>183</v>
      </c>
      <c r="S71" s="308"/>
      <c r="T71" s="306" t="s">
        <v>183</v>
      </c>
      <c r="U71" s="307"/>
      <c r="V71" s="307" t="s">
        <v>183</v>
      </c>
      <c r="W71" s="308"/>
      <c r="X71" s="124">
        <f>COUNTA(H71:W71)</f>
        <v>8</v>
      </c>
      <c r="Y71" s="160"/>
      <c r="Z71" s="162">
        <v>8</v>
      </c>
      <c r="AA71" s="162">
        <v>2</v>
      </c>
      <c r="AB71" s="162">
        <f t="shared" ref="AB71:AB77" si="1">10-AA71</f>
        <v>8</v>
      </c>
      <c r="AC71" s="81"/>
      <c r="AD71" s="7"/>
      <c r="AE71" s="7"/>
      <c r="AF71" s="7"/>
      <c r="AG71" s="7"/>
      <c r="AH71" s="7"/>
      <c r="AI71" s="7"/>
      <c r="AJ71" s="7"/>
    </row>
    <row r="72" spans="2:36" ht="19.899999999999999" customHeight="1" x14ac:dyDescent="0.3">
      <c r="B72" s="98" t="s">
        <v>206</v>
      </c>
      <c r="C72" s="104" t="s">
        <v>237</v>
      </c>
      <c r="D72" s="306"/>
      <c r="E72" s="307"/>
      <c r="F72" s="307"/>
      <c r="G72" s="307"/>
      <c r="H72" s="306"/>
      <c r="I72" s="307"/>
      <c r="J72" s="307"/>
      <c r="K72" s="308"/>
      <c r="L72" s="306"/>
      <c r="M72" s="307"/>
      <c r="N72" s="307"/>
      <c r="O72" s="308"/>
      <c r="P72" s="306" t="s">
        <v>183</v>
      </c>
      <c r="Q72" s="307"/>
      <c r="R72" s="307"/>
      <c r="S72" s="308"/>
      <c r="T72" s="306"/>
      <c r="U72" s="307"/>
      <c r="V72" s="307"/>
      <c r="W72" s="308"/>
      <c r="X72" s="142">
        <f>COUNTA(H72:W72)</f>
        <v>1</v>
      </c>
      <c r="Y72" s="160"/>
      <c r="Z72" s="162">
        <v>1</v>
      </c>
      <c r="AA72" s="162"/>
      <c r="AB72" s="162">
        <f t="shared" si="1"/>
        <v>10</v>
      </c>
      <c r="AC72" s="81"/>
      <c r="AD72" s="7"/>
      <c r="AE72" s="7"/>
      <c r="AF72" s="7"/>
      <c r="AG72" s="7"/>
      <c r="AH72" s="7"/>
      <c r="AI72" s="7"/>
      <c r="AJ72" s="7"/>
    </row>
    <row r="73" spans="2:36" ht="19.899999999999999" customHeight="1" x14ac:dyDescent="0.3">
      <c r="B73" s="84" t="s">
        <v>208</v>
      </c>
      <c r="C73" s="102" t="s">
        <v>22</v>
      </c>
      <c r="D73" s="306" t="s">
        <v>149</v>
      </c>
      <c r="E73" s="307"/>
      <c r="F73" s="307" t="s">
        <v>183</v>
      </c>
      <c r="G73" s="307"/>
      <c r="H73" s="306" t="s">
        <v>149</v>
      </c>
      <c r="I73" s="307"/>
      <c r="J73" s="307" t="s">
        <v>183</v>
      </c>
      <c r="K73" s="308"/>
      <c r="L73" s="306" t="s">
        <v>183</v>
      </c>
      <c r="M73" s="307"/>
      <c r="N73" s="307" t="s">
        <v>183</v>
      </c>
      <c r="O73" s="308"/>
      <c r="P73" s="306" t="s">
        <v>149</v>
      </c>
      <c r="Q73" s="307"/>
      <c r="R73" s="307" t="s">
        <v>183</v>
      </c>
      <c r="S73" s="308"/>
      <c r="T73" s="306" t="s">
        <v>149</v>
      </c>
      <c r="U73" s="307"/>
      <c r="V73" s="307" t="s">
        <v>183</v>
      </c>
      <c r="W73" s="308"/>
      <c r="X73" s="143">
        <f>COUNTA(D73:W73)</f>
        <v>10</v>
      </c>
      <c r="Y73" s="160"/>
      <c r="Z73" s="162">
        <v>10</v>
      </c>
      <c r="AA73" s="162"/>
      <c r="AB73" s="162">
        <f t="shared" si="1"/>
        <v>10</v>
      </c>
      <c r="AC73" s="81"/>
      <c r="AD73" s="7"/>
      <c r="AE73" s="7">
        <v>6</v>
      </c>
      <c r="AF73" s="7"/>
      <c r="AG73" s="7"/>
      <c r="AH73" s="7"/>
      <c r="AI73" s="7"/>
      <c r="AJ73" s="7"/>
    </row>
    <row r="74" spans="2:36" ht="19.899999999999999" customHeight="1" x14ac:dyDescent="0.3">
      <c r="B74" s="84" t="s">
        <v>209</v>
      </c>
      <c r="C74" s="102" t="s">
        <v>22</v>
      </c>
      <c r="D74" s="306" t="s">
        <v>183</v>
      </c>
      <c r="E74" s="307"/>
      <c r="F74" s="307" t="s">
        <v>183</v>
      </c>
      <c r="G74" s="307"/>
      <c r="H74" s="306" t="s">
        <v>183</v>
      </c>
      <c r="I74" s="307"/>
      <c r="J74" s="307" t="s">
        <v>183</v>
      </c>
      <c r="K74" s="308"/>
      <c r="L74" s="306" t="s">
        <v>183</v>
      </c>
      <c r="M74" s="307"/>
      <c r="N74" s="307" t="s">
        <v>183</v>
      </c>
      <c r="O74" s="308"/>
      <c r="P74" s="306"/>
      <c r="Q74" s="307"/>
      <c r="R74" s="307"/>
      <c r="S74" s="308"/>
      <c r="T74" s="306" t="s">
        <v>183</v>
      </c>
      <c r="U74" s="307"/>
      <c r="V74" s="307" t="s">
        <v>183</v>
      </c>
      <c r="W74" s="308"/>
      <c r="X74" s="143">
        <f>COUNTA(D74:W74)</f>
        <v>8</v>
      </c>
      <c r="Y74" s="160"/>
      <c r="Z74" s="162">
        <v>8</v>
      </c>
      <c r="AA74" s="162"/>
      <c r="AB74" s="162">
        <f t="shared" si="1"/>
        <v>10</v>
      </c>
      <c r="AC74" s="81"/>
      <c r="AD74" s="7"/>
      <c r="AE74" s="7"/>
      <c r="AF74" s="7"/>
      <c r="AG74" s="7"/>
      <c r="AH74" s="7"/>
      <c r="AI74" s="7"/>
      <c r="AJ74" s="7"/>
    </row>
    <row r="75" spans="2:36" ht="19.899999999999999" customHeight="1" x14ac:dyDescent="0.3">
      <c r="B75" s="98" t="s">
        <v>210</v>
      </c>
      <c r="C75" s="104" t="s">
        <v>237</v>
      </c>
      <c r="D75" s="306"/>
      <c r="E75" s="307"/>
      <c r="F75" s="307"/>
      <c r="G75" s="307"/>
      <c r="H75" s="306"/>
      <c r="I75" s="307"/>
      <c r="J75" s="307"/>
      <c r="K75" s="308"/>
      <c r="L75" s="343" t="s">
        <v>236</v>
      </c>
      <c r="M75" s="344"/>
      <c r="N75" s="344" t="s">
        <v>236</v>
      </c>
      <c r="O75" s="345"/>
      <c r="P75" s="343" t="s">
        <v>236</v>
      </c>
      <c r="Q75" s="344"/>
      <c r="R75" s="344" t="s">
        <v>236</v>
      </c>
      <c r="S75" s="345"/>
      <c r="T75" s="306" t="s">
        <v>183</v>
      </c>
      <c r="U75" s="307"/>
      <c r="V75" s="307" t="s">
        <v>183</v>
      </c>
      <c r="W75" s="308"/>
      <c r="X75" s="142">
        <f t="shared" ref="X75:X93" si="2">COUNTA(H75:W75)</f>
        <v>6</v>
      </c>
      <c r="Y75" s="160"/>
      <c r="Z75" s="162">
        <v>2</v>
      </c>
      <c r="AA75" s="162">
        <v>4</v>
      </c>
      <c r="AB75" s="162">
        <f t="shared" si="1"/>
        <v>6</v>
      </c>
      <c r="AC75" s="81"/>
      <c r="AD75" s="7"/>
      <c r="AE75" s="7"/>
      <c r="AF75" s="7"/>
      <c r="AG75" s="7"/>
      <c r="AH75" s="7"/>
      <c r="AI75" s="7"/>
      <c r="AJ75" s="7"/>
    </row>
    <row r="76" spans="2:36" ht="19.899999999999999" customHeight="1" x14ac:dyDescent="0.3">
      <c r="B76" s="156" t="s">
        <v>211</v>
      </c>
      <c r="C76" s="152" t="s">
        <v>22</v>
      </c>
      <c r="D76" s="354" t="s">
        <v>149</v>
      </c>
      <c r="E76" s="355"/>
      <c r="F76" s="355" t="s">
        <v>183</v>
      </c>
      <c r="G76" s="355"/>
      <c r="H76" s="356"/>
      <c r="I76" s="357"/>
      <c r="J76" s="357"/>
      <c r="K76" s="358"/>
      <c r="L76" s="356"/>
      <c r="M76" s="357"/>
      <c r="N76" s="357"/>
      <c r="O76" s="358"/>
      <c r="P76" s="356"/>
      <c r="Q76" s="357"/>
      <c r="R76" s="357"/>
      <c r="S76" s="358"/>
      <c r="T76" s="356"/>
      <c r="U76" s="357"/>
      <c r="V76" s="357"/>
      <c r="W76" s="358"/>
      <c r="X76" s="138">
        <f t="shared" si="2"/>
        <v>0</v>
      </c>
      <c r="Y76" s="160"/>
      <c r="Z76" s="162">
        <v>2</v>
      </c>
      <c r="AA76" s="162">
        <v>8</v>
      </c>
      <c r="AB76" s="162">
        <f t="shared" si="1"/>
        <v>2</v>
      </c>
      <c r="AC76" s="81"/>
      <c r="AD76" s="7"/>
      <c r="AE76" s="7"/>
      <c r="AF76" s="7"/>
      <c r="AG76" s="7"/>
      <c r="AH76" s="7"/>
      <c r="AI76" s="7"/>
      <c r="AJ76" s="7"/>
    </row>
    <row r="77" spans="2:36" ht="19.899999999999999" customHeight="1" x14ac:dyDescent="0.3">
      <c r="B77" s="98" t="s">
        <v>212</v>
      </c>
      <c r="C77" s="104" t="s">
        <v>237</v>
      </c>
      <c r="D77" s="306" t="s">
        <v>183</v>
      </c>
      <c r="E77" s="307"/>
      <c r="F77" s="307" t="s">
        <v>183</v>
      </c>
      <c r="G77" s="307"/>
      <c r="H77" s="306" t="s">
        <v>183</v>
      </c>
      <c r="I77" s="307"/>
      <c r="J77" s="307" t="s">
        <v>183</v>
      </c>
      <c r="K77" s="308"/>
      <c r="L77" s="306" t="s">
        <v>183</v>
      </c>
      <c r="M77" s="307"/>
      <c r="N77" s="307" t="s">
        <v>183</v>
      </c>
      <c r="O77" s="308"/>
      <c r="P77" s="306" t="s">
        <v>183</v>
      </c>
      <c r="Q77" s="307"/>
      <c r="R77" s="307" t="s">
        <v>183</v>
      </c>
      <c r="S77" s="308"/>
      <c r="T77" s="306"/>
      <c r="U77" s="307"/>
      <c r="V77" s="307"/>
      <c r="W77" s="308"/>
      <c r="X77" s="142">
        <f t="shared" si="2"/>
        <v>6</v>
      </c>
      <c r="Y77" s="160"/>
      <c r="Z77" s="162">
        <v>8</v>
      </c>
      <c r="AA77" s="162"/>
      <c r="AB77" s="162">
        <f t="shared" si="1"/>
        <v>10</v>
      </c>
      <c r="AC77" s="81"/>
      <c r="AD77" s="7"/>
      <c r="AE77" s="7"/>
      <c r="AF77" s="7"/>
      <c r="AG77" s="7"/>
      <c r="AH77" s="7"/>
      <c r="AI77" s="7"/>
      <c r="AJ77" s="7"/>
    </row>
    <row r="78" spans="2:36" ht="19.899999999999999" customHeight="1" x14ac:dyDescent="0.3">
      <c r="B78" s="85" t="s">
        <v>238</v>
      </c>
      <c r="C78" s="115" t="s">
        <v>22</v>
      </c>
      <c r="D78" s="306"/>
      <c r="E78" s="307"/>
      <c r="F78" s="307"/>
      <c r="G78" s="307"/>
      <c r="H78" s="306"/>
      <c r="I78" s="307"/>
      <c r="J78" s="307"/>
      <c r="K78" s="308"/>
      <c r="L78" s="306"/>
      <c r="M78" s="307"/>
      <c r="N78" s="307"/>
      <c r="O78" s="308"/>
      <c r="P78" s="306"/>
      <c r="Q78" s="307"/>
      <c r="R78" s="307"/>
      <c r="S78" s="308"/>
      <c r="T78" s="306"/>
      <c r="U78" s="307"/>
      <c r="V78" s="307"/>
      <c r="W78" s="308"/>
      <c r="X78" s="142">
        <f t="shared" si="2"/>
        <v>0</v>
      </c>
      <c r="Y78" s="160"/>
      <c r="Z78" s="162"/>
      <c r="AA78" s="162"/>
      <c r="AB78" s="162"/>
      <c r="AC78" s="81"/>
      <c r="AD78" s="7"/>
      <c r="AE78" s="7"/>
      <c r="AF78" s="7"/>
      <c r="AG78" s="7"/>
      <c r="AH78" s="7"/>
      <c r="AI78" s="7"/>
      <c r="AJ78" s="7"/>
    </row>
    <row r="79" spans="2:36" ht="19.899999999999999" customHeight="1" x14ac:dyDescent="0.3">
      <c r="B79" s="98" t="s">
        <v>214</v>
      </c>
      <c r="C79" s="104" t="s">
        <v>237</v>
      </c>
      <c r="D79" s="306" t="s">
        <v>183</v>
      </c>
      <c r="E79" s="307"/>
      <c r="F79" s="307" t="s">
        <v>183</v>
      </c>
      <c r="G79" s="307"/>
      <c r="H79" s="306"/>
      <c r="I79" s="307"/>
      <c r="J79" s="307"/>
      <c r="K79" s="308"/>
      <c r="L79" s="306"/>
      <c r="M79" s="307"/>
      <c r="N79" s="307"/>
      <c r="O79" s="308"/>
      <c r="P79" s="306"/>
      <c r="Q79" s="307"/>
      <c r="R79" s="307"/>
      <c r="S79" s="308"/>
      <c r="T79" s="343" t="s">
        <v>236</v>
      </c>
      <c r="U79" s="344"/>
      <c r="V79" s="344" t="s">
        <v>236</v>
      </c>
      <c r="W79" s="345"/>
      <c r="X79" s="142">
        <f t="shared" si="2"/>
        <v>2</v>
      </c>
      <c r="Y79" s="160"/>
      <c r="Z79" s="162">
        <v>2</v>
      </c>
      <c r="AA79" s="162">
        <v>2</v>
      </c>
      <c r="AB79" s="162">
        <f t="shared" ref="AB79:AB93" si="3">10-AA79</f>
        <v>8</v>
      </c>
      <c r="AC79" s="81"/>
      <c r="AD79" s="7"/>
      <c r="AE79" s="7"/>
      <c r="AF79" s="7"/>
      <c r="AG79" s="7"/>
      <c r="AH79" s="7"/>
      <c r="AI79" s="7"/>
      <c r="AJ79" s="7"/>
    </row>
    <row r="80" spans="2:36" ht="19.899999999999999" customHeight="1" x14ac:dyDescent="0.3">
      <c r="B80" s="85" t="s">
        <v>216</v>
      </c>
      <c r="C80" s="102" t="s">
        <v>22</v>
      </c>
      <c r="D80" s="306"/>
      <c r="E80" s="307"/>
      <c r="F80" s="307"/>
      <c r="G80" s="307"/>
      <c r="H80" s="306"/>
      <c r="I80" s="307"/>
      <c r="J80" s="307"/>
      <c r="K80" s="308"/>
      <c r="L80" s="306"/>
      <c r="M80" s="307"/>
      <c r="N80" s="307"/>
      <c r="O80" s="308"/>
      <c r="P80" s="306"/>
      <c r="Q80" s="307"/>
      <c r="R80" s="307"/>
      <c r="S80" s="308"/>
      <c r="T80" s="306"/>
      <c r="U80" s="307"/>
      <c r="V80" s="307"/>
      <c r="W80" s="308"/>
      <c r="X80" s="143">
        <f t="shared" si="2"/>
        <v>0</v>
      </c>
      <c r="Y80" s="160"/>
      <c r="Z80" s="162">
        <v>0</v>
      </c>
      <c r="AA80" s="162"/>
      <c r="AB80" s="162">
        <f t="shared" si="3"/>
        <v>10</v>
      </c>
      <c r="AC80" s="81"/>
      <c r="AD80" s="7"/>
      <c r="AE80" s="7"/>
      <c r="AF80" s="7"/>
      <c r="AG80" s="7"/>
      <c r="AH80" s="7"/>
      <c r="AI80" s="7"/>
      <c r="AJ80" s="7"/>
    </row>
    <row r="81" spans="2:36" ht="19.899999999999999" customHeight="1" x14ac:dyDescent="0.3">
      <c r="B81" s="98" t="s">
        <v>217</v>
      </c>
      <c r="C81" s="104" t="s">
        <v>237</v>
      </c>
      <c r="D81" s="306"/>
      <c r="E81" s="307"/>
      <c r="F81" s="307" t="s">
        <v>183</v>
      </c>
      <c r="G81" s="307"/>
      <c r="H81" s="306" t="s">
        <v>183</v>
      </c>
      <c r="I81" s="307"/>
      <c r="J81" s="307" t="s">
        <v>183</v>
      </c>
      <c r="K81" s="308"/>
      <c r="L81" s="306" t="s">
        <v>183</v>
      </c>
      <c r="M81" s="307"/>
      <c r="N81" s="307"/>
      <c r="O81" s="308"/>
      <c r="P81" s="343" t="s">
        <v>193</v>
      </c>
      <c r="Q81" s="344"/>
      <c r="R81" s="344" t="s">
        <v>193</v>
      </c>
      <c r="S81" s="345"/>
      <c r="T81" s="306"/>
      <c r="U81" s="307"/>
      <c r="V81" s="307"/>
      <c r="W81" s="308"/>
      <c r="X81" s="142">
        <f t="shared" si="2"/>
        <v>5</v>
      </c>
      <c r="Y81" s="160"/>
      <c r="Z81" s="162">
        <v>4</v>
      </c>
      <c r="AA81" s="162">
        <v>2</v>
      </c>
      <c r="AB81" s="162">
        <f t="shared" si="3"/>
        <v>8</v>
      </c>
      <c r="AC81" s="81"/>
      <c r="AD81" s="7"/>
      <c r="AE81" s="7"/>
      <c r="AF81" s="7"/>
      <c r="AG81" s="7"/>
      <c r="AH81" s="7"/>
      <c r="AI81" s="7"/>
      <c r="AJ81" s="7"/>
    </row>
    <row r="82" spans="2:36" ht="19.899999999999999" customHeight="1" x14ac:dyDescent="0.3">
      <c r="B82" s="85" t="s">
        <v>219</v>
      </c>
      <c r="C82" s="115" t="s">
        <v>26</v>
      </c>
      <c r="D82" s="306" t="s">
        <v>183</v>
      </c>
      <c r="E82" s="307"/>
      <c r="F82" s="307"/>
      <c r="G82" s="307"/>
      <c r="H82" s="306" t="s">
        <v>183</v>
      </c>
      <c r="I82" s="307"/>
      <c r="J82" s="307" t="s">
        <v>183</v>
      </c>
      <c r="K82" s="308"/>
      <c r="L82" s="306" t="s">
        <v>183</v>
      </c>
      <c r="M82" s="307"/>
      <c r="N82" s="307" t="s">
        <v>183</v>
      </c>
      <c r="O82" s="308"/>
      <c r="P82" s="306" t="s">
        <v>183</v>
      </c>
      <c r="Q82" s="307"/>
      <c r="R82" s="307" t="s">
        <v>183</v>
      </c>
      <c r="S82" s="308"/>
      <c r="T82" s="306" t="s">
        <v>183</v>
      </c>
      <c r="U82" s="307"/>
      <c r="V82" s="307" t="s">
        <v>183</v>
      </c>
      <c r="W82" s="308"/>
      <c r="X82" s="124">
        <f t="shared" si="2"/>
        <v>8</v>
      </c>
      <c r="Y82" s="160"/>
      <c r="Z82" s="162">
        <v>8</v>
      </c>
      <c r="AA82" s="162"/>
      <c r="AB82" s="162">
        <f t="shared" si="3"/>
        <v>10</v>
      </c>
      <c r="AC82" s="81"/>
      <c r="AD82" s="7"/>
      <c r="AE82" s="7"/>
      <c r="AF82" s="7"/>
      <c r="AG82" s="7"/>
      <c r="AH82" s="7"/>
      <c r="AI82" s="7"/>
      <c r="AJ82" s="7"/>
    </row>
    <row r="83" spans="2:36" ht="19.899999999999999" customHeight="1" x14ac:dyDescent="0.3">
      <c r="B83" s="85" t="s">
        <v>220</v>
      </c>
      <c r="C83" s="102" t="s">
        <v>22</v>
      </c>
      <c r="D83" s="306" t="s">
        <v>183</v>
      </c>
      <c r="E83" s="307"/>
      <c r="F83" s="307" t="s">
        <v>183</v>
      </c>
      <c r="G83" s="307"/>
      <c r="H83" s="306" t="s">
        <v>183</v>
      </c>
      <c r="I83" s="307"/>
      <c r="J83" s="307" t="s">
        <v>183</v>
      </c>
      <c r="K83" s="308"/>
      <c r="L83" s="306" t="s">
        <v>183</v>
      </c>
      <c r="M83" s="307"/>
      <c r="N83" s="307" t="s">
        <v>183</v>
      </c>
      <c r="O83" s="308"/>
      <c r="P83" s="306" t="s">
        <v>183</v>
      </c>
      <c r="Q83" s="307"/>
      <c r="R83" s="307" t="s">
        <v>183</v>
      </c>
      <c r="S83" s="308"/>
      <c r="T83" s="306" t="s">
        <v>183</v>
      </c>
      <c r="U83" s="307"/>
      <c r="V83" s="307" t="s">
        <v>183</v>
      </c>
      <c r="W83" s="308"/>
      <c r="X83" s="143">
        <f t="shared" si="2"/>
        <v>8</v>
      </c>
      <c r="Y83" s="160"/>
      <c r="Z83" s="162">
        <v>10</v>
      </c>
      <c r="AA83" s="162"/>
      <c r="AB83" s="162">
        <f t="shared" si="3"/>
        <v>10</v>
      </c>
      <c r="AC83" s="81"/>
      <c r="AD83" s="7"/>
      <c r="AE83" s="7"/>
      <c r="AF83" s="7"/>
      <c r="AG83" s="7"/>
      <c r="AH83" s="7"/>
      <c r="AI83" s="7"/>
      <c r="AJ83" s="7"/>
    </row>
    <row r="84" spans="2:36" ht="19.899999999999999" customHeight="1" x14ac:dyDescent="0.3">
      <c r="B84" s="98" t="s">
        <v>221</v>
      </c>
      <c r="C84" s="104" t="s">
        <v>237</v>
      </c>
      <c r="D84" s="306" t="s">
        <v>183</v>
      </c>
      <c r="E84" s="307"/>
      <c r="F84" s="307" t="s">
        <v>149</v>
      </c>
      <c r="G84" s="307"/>
      <c r="H84" s="306" t="s">
        <v>183</v>
      </c>
      <c r="I84" s="307"/>
      <c r="J84" s="307" t="s">
        <v>183</v>
      </c>
      <c r="K84" s="308"/>
      <c r="L84" s="306" t="s">
        <v>183</v>
      </c>
      <c r="M84" s="307"/>
      <c r="N84" s="307" t="s">
        <v>183</v>
      </c>
      <c r="O84" s="308"/>
      <c r="P84" s="306" t="s">
        <v>183</v>
      </c>
      <c r="Q84" s="307"/>
      <c r="R84" s="307"/>
      <c r="S84" s="308"/>
      <c r="T84" s="306" t="s">
        <v>183</v>
      </c>
      <c r="U84" s="307"/>
      <c r="V84" s="307" t="s">
        <v>183</v>
      </c>
      <c r="W84" s="308"/>
      <c r="X84" s="142">
        <f t="shared" si="2"/>
        <v>7</v>
      </c>
      <c r="Y84" s="160"/>
      <c r="Z84" s="162">
        <v>7</v>
      </c>
      <c r="AA84" s="162"/>
      <c r="AB84" s="162">
        <f t="shared" si="3"/>
        <v>10</v>
      </c>
      <c r="AC84" s="81"/>
      <c r="AD84" s="7"/>
      <c r="AE84" s="7"/>
      <c r="AF84" s="7"/>
      <c r="AG84" s="7"/>
      <c r="AH84" s="7"/>
      <c r="AI84" s="7"/>
      <c r="AJ84" s="7"/>
    </row>
    <row r="85" spans="2:36" ht="19.899999999999999" customHeight="1" x14ac:dyDescent="0.3">
      <c r="B85" s="85" t="s">
        <v>223</v>
      </c>
      <c r="C85" s="102" t="s">
        <v>22</v>
      </c>
      <c r="D85" s="306" t="s">
        <v>183</v>
      </c>
      <c r="E85" s="307"/>
      <c r="F85" s="344" t="s">
        <v>236</v>
      </c>
      <c r="G85" s="344"/>
      <c r="H85" s="306" t="s">
        <v>149</v>
      </c>
      <c r="I85" s="307"/>
      <c r="J85" s="307" t="s">
        <v>183</v>
      </c>
      <c r="K85" s="308"/>
      <c r="L85" s="306" t="s">
        <v>183</v>
      </c>
      <c r="M85" s="307"/>
      <c r="N85" s="307" t="s">
        <v>183</v>
      </c>
      <c r="O85" s="308"/>
      <c r="P85" s="343" t="s">
        <v>193</v>
      </c>
      <c r="Q85" s="344"/>
      <c r="R85" s="344" t="s">
        <v>193</v>
      </c>
      <c r="S85" s="345"/>
      <c r="T85" s="306" t="s">
        <v>183</v>
      </c>
      <c r="U85" s="307"/>
      <c r="V85" s="307" t="s">
        <v>183</v>
      </c>
      <c r="W85" s="308"/>
      <c r="X85" s="143">
        <f t="shared" si="2"/>
        <v>8</v>
      </c>
      <c r="Y85" s="160"/>
      <c r="Z85" s="162">
        <v>7</v>
      </c>
      <c r="AA85" s="162">
        <v>3</v>
      </c>
      <c r="AB85" s="162">
        <f t="shared" si="3"/>
        <v>7</v>
      </c>
      <c r="AC85" s="81"/>
      <c r="AD85" s="7"/>
      <c r="AE85" s="7"/>
      <c r="AF85" s="7"/>
      <c r="AG85" s="7"/>
      <c r="AH85" s="7"/>
      <c r="AI85" s="7"/>
      <c r="AJ85" s="7"/>
    </row>
    <row r="86" spans="2:36" ht="19.899999999999999" customHeight="1" x14ac:dyDescent="0.3">
      <c r="B86" s="85" t="s">
        <v>224</v>
      </c>
      <c r="C86" s="102" t="s">
        <v>28</v>
      </c>
      <c r="D86" s="306" t="s">
        <v>149</v>
      </c>
      <c r="E86" s="307"/>
      <c r="F86" s="307" t="s">
        <v>183</v>
      </c>
      <c r="G86" s="307"/>
      <c r="H86" s="306" t="s">
        <v>149</v>
      </c>
      <c r="I86" s="307"/>
      <c r="J86" s="307" t="s">
        <v>149</v>
      </c>
      <c r="K86" s="308"/>
      <c r="L86" s="343" t="s">
        <v>239</v>
      </c>
      <c r="M86" s="344"/>
      <c r="N86" s="344" t="s">
        <v>239</v>
      </c>
      <c r="O86" s="345"/>
      <c r="P86" s="306" t="s">
        <v>149</v>
      </c>
      <c r="Q86" s="307"/>
      <c r="R86" s="307" t="s">
        <v>149</v>
      </c>
      <c r="S86" s="308"/>
      <c r="T86" s="306" t="s">
        <v>149</v>
      </c>
      <c r="U86" s="307"/>
      <c r="V86" s="307" t="s">
        <v>183</v>
      </c>
      <c r="W86" s="308"/>
      <c r="X86" s="124">
        <f t="shared" si="2"/>
        <v>8</v>
      </c>
      <c r="Y86" s="160"/>
      <c r="Z86" s="162">
        <v>8</v>
      </c>
      <c r="AA86" s="162">
        <v>2</v>
      </c>
      <c r="AB86" s="162">
        <f t="shared" si="3"/>
        <v>8</v>
      </c>
      <c r="AC86" s="81"/>
      <c r="AD86" s="7"/>
      <c r="AE86" s="7"/>
      <c r="AF86" s="7"/>
      <c r="AG86" s="7"/>
      <c r="AH86" s="7"/>
      <c r="AI86" s="7"/>
      <c r="AJ86" s="7"/>
    </row>
    <row r="87" spans="2:36" ht="19.899999999999999" customHeight="1" x14ac:dyDescent="0.3">
      <c r="B87" s="85" t="s">
        <v>234</v>
      </c>
      <c r="C87" s="102" t="s">
        <v>22</v>
      </c>
      <c r="D87" s="306" t="s">
        <v>183</v>
      </c>
      <c r="E87" s="307"/>
      <c r="F87" s="307" t="s">
        <v>183</v>
      </c>
      <c r="G87" s="307"/>
      <c r="H87" s="306" t="s">
        <v>183</v>
      </c>
      <c r="I87" s="307"/>
      <c r="J87" s="307" t="s">
        <v>183</v>
      </c>
      <c r="K87" s="308"/>
      <c r="L87" s="306" t="s">
        <v>183</v>
      </c>
      <c r="M87" s="307"/>
      <c r="N87" s="307" t="s">
        <v>183</v>
      </c>
      <c r="O87" s="308"/>
      <c r="P87" s="306" t="s">
        <v>183</v>
      </c>
      <c r="Q87" s="307"/>
      <c r="R87" s="307" t="s">
        <v>183</v>
      </c>
      <c r="S87" s="308"/>
      <c r="T87" s="306" t="s">
        <v>183</v>
      </c>
      <c r="U87" s="307"/>
      <c r="V87" s="307" t="s">
        <v>183</v>
      </c>
      <c r="W87" s="308"/>
      <c r="X87" s="143">
        <f t="shared" si="2"/>
        <v>8</v>
      </c>
      <c r="Y87" s="131"/>
      <c r="Z87" s="162">
        <v>10</v>
      </c>
      <c r="AA87" s="162"/>
      <c r="AB87" s="162">
        <f t="shared" si="3"/>
        <v>10</v>
      </c>
      <c r="AC87" s="132"/>
      <c r="AD87" s="7"/>
      <c r="AE87" s="7"/>
      <c r="AF87" s="7"/>
      <c r="AG87" s="7"/>
      <c r="AH87" s="7"/>
      <c r="AI87" s="7"/>
      <c r="AJ87" s="7"/>
    </row>
    <row r="88" spans="2:36" ht="19.899999999999999" customHeight="1" x14ac:dyDescent="0.3">
      <c r="B88" s="85" t="s">
        <v>226</v>
      </c>
      <c r="C88" s="102" t="s">
        <v>28</v>
      </c>
      <c r="D88" s="343" t="s">
        <v>193</v>
      </c>
      <c r="E88" s="344"/>
      <c r="F88" s="344" t="s">
        <v>193</v>
      </c>
      <c r="G88" s="344"/>
      <c r="H88" s="343" t="s">
        <v>240</v>
      </c>
      <c r="I88" s="344"/>
      <c r="J88" s="344" t="s">
        <v>240</v>
      </c>
      <c r="K88" s="345"/>
      <c r="L88" s="306" t="s">
        <v>183</v>
      </c>
      <c r="M88" s="307"/>
      <c r="N88" s="307" t="s">
        <v>183</v>
      </c>
      <c r="O88" s="308"/>
      <c r="P88" s="306" t="s">
        <v>183</v>
      </c>
      <c r="Q88" s="307"/>
      <c r="R88" s="307" t="s">
        <v>183</v>
      </c>
      <c r="S88" s="308"/>
      <c r="T88" s="306" t="s">
        <v>183</v>
      </c>
      <c r="U88" s="307"/>
      <c r="V88" s="307" t="s">
        <v>183</v>
      </c>
      <c r="W88" s="308"/>
      <c r="X88" s="124">
        <f t="shared" si="2"/>
        <v>8</v>
      </c>
      <c r="Y88" s="160"/>
      <c r="Z88" s="162">
        <v>6</v>
      </c>
      <c r="AA88" s="162">
        <v>4</v>
      </c>
      <c r="AB88" s="162">
        <f t="shared" si="3"/>
        <v>6</v>
      </c>
      <c r="AC88" s="81"/>
      <c r="AD88" s="7"/>
      <c r="AE88" s="7"/>
      <c r="AF88" s="7"/>
      <c r="AG88" s="7"/>
      <c r="AH88" s="7"/>
      <c r="AI88" s="7"/>
      <c r="AJ88" s="7"/>
    </row>
    <row r="89" spans="2:36" ht="19.899999999999999" customHeight="1" x14ac:dyDescent="0.3">
      <c r="B89" s="85" t="s">
        <v>227</v>
      </c>
      <c r="C89" s="115" t="s">
        <v>24</v>
      </c>
      <c r="D89" s="306"/>
      <c r="E89" s="307"/>
      <c r="F89" s="307"/>
      <c r="G89" s="307"/>
      <c r="H89" s="306" t="s">
        <v>183</v>
      </c>
      <c r="I89" s="307"/>
      <c r="J89" s="307" t="s">
        <v>183</v>
      </c>
      <c r="K89" s="308"/>
      <c r="L89" s="306" t="s">
        <v>183</v>
      </c>
      <c r="M89" s="307"/>
      <c r="N89" s="307" t="s">
        <v>183</v>
      </c>
      <c r="O89" s="308"/>
      <c r="P89" s="306" t="s">
        <v>183</v>
      </c>
      <c r="Q89" s="307"/>
      <c r="R89" s="307" t="s">
        <v>183</v>
      </c>
      <c r="S89" s="308"/>
      <c r="T89" s="306" t="s">
        <v>183</v>
      </c>
      <c r="U89" s="307"/>
      <c r="V89" s="307" t="s">
        <v>183</v>
      </c>
      <c r="W89" s="308"/>
      <c r="X89" s="124">
        <f t="shared" si="2"/>
        <v>8</v>
      </c>
      <c r="Y89" s="160"/>
      <c r="Z89" s="162">
        <v>8</v>
      </c>
      <c r="AA89" s="162"/>
      <c r="AB89" s="162">
        <f t="shared" si="3"/>
        <v>10</v>
      </c>
      <c r="AC89" s="81"/>
      <c r="AD89" s="7"/>
      <c r="AE89" s="7"/>
      <c r="AF89" s="7"/>
      <c r="AG89" s="7"/>
      <c r="AH89" s="7"/>
      <c r="AI89" s="7"/>
      <c r="AJ89" s="7"/>
    </row>
    <row r="90" spans="2:36" ht="19.899999999999999" customHeight="1" x14ac:dyDescent="0.3">
      <c r="B90" s="85" t="s">
        <v>228</v>
      </c>
      <c r="C90" s="102" t="s">
        <v>28</v>
      </c>
      <c r="D90" s="306" t="s">
        <v>149</v>
      </c>
      <c r="E90" s="307"/>
      <c r="F90" s="307"/>
      <c r="G90" s="307"/>
      <c r="H90" s="306" t="s">
        <v>183</v>
      </c>
      <c r="I90" s="307"/>
      <c r="J90" s="307"/>
      <c r="K90" s="308"/>
      <c r="L90" s="306" t="s">
        <v>183</v>
      </c>
      <c r="M90" s="307"/>
      <c r="N90" s="307" t="s">
        <v>183</v>
      </c>
      <c r="O90" s="308"/>
      <c r="P90" s="306" t="s">
        <v>183</v>
      </c>
      <c r="Q90" s="307"/>
      <c r="R90" s="307" t="s">
        <v>183</v>
      </c>
      <c r="S90" s="308"/>
      <c r="T90" s="306" t="s">
        <v>183</v>
      </c>
      <c r="U90" s="307"/>
      <c r="V90" s="307" t="s">
        <v>183</v>
      </c>
      <c r="W90" s="308"/>
      <c r="X90" s="124">
        <f t="shared" si="2"/>
        <v>7</v>
      </c>
      <c r="Y90" s="160"/>
      <c r="Z90" s="162">
        <v>8</v>
      </c>
      <c r="AA90" s="162"/>
      <c r="AB90" s="162">
        <f t="shared" si="3"/>
        <v>10</v>
      </c>
      <c r="AC90" s="81"/>
      <c r="AD90" s="7"/>
      <c r="AE90" s="7"/>
      <c r="AF90" s="7"/>
      <c r="AG90" s="7"/>
      <c r="AH90" s="7"/>
      <c r="AI90" s="7"/>
      <c r="AJ90" s="7"/>
    </row>
    <row r="91" spans="2:36" ht="19.899999999999999" customHeight="1" x14ac:dyDescent="0.3">
      <c r="B91" s="98" t="s">
        <v>229</v>
      </c>
      <c r="C91" s="104" t="s">
        <v>237</v>
      </c>
      <c r="D91" s="306" t="s">
        <v>183</v>
      </c>
      <c r="E91" s="307"/>
      <c r="F91" s="307" t="s">
        <v>183</v>
      </c>
      <c r="G91" s="307"/>
      <c r="H91" s="306" t="s">
        <v>183</v>
      </c>
      <c r="I91" s="307"/>
      <c r="J91" s="307" t="s">
        <v>183</v>
      </c>
      <c r="K91" s="308"/>
      <c r="L91" s="306" t="s">
        <v>183</v>
      </c>
      <c r="M91" s="307"/>
      <c r="N91" s="307" t="s">
        <v>183</v>
      </c>
      <c r="O91" s="308"/>
      <c r="P91" s="306" t="s">
        <v>183</v>
      </c>
      <c r="Q91" s="307"/>
      <c r="R91" s="307" t="s">
        <v>183</v>
      </c>
      <c r="S91" s="308"/>
      <c r="T91" s="306" t="s">
        <v>183</v>
      </c>
      <c r="U91" s="307"/>
      <c r="V91" s="344" t="s">
        <v>236</v>
      </c>
      <c r="W91" s="345"/>
      <c r="X91" s="142">
        <f t="shared" si="2"/>
        <v>8</v>
      </c>
      <c r="Y91" s="160"/>
      <c r="Z91" s="162">
        <v>8</v>
      </c>
      <c r="AA91" s="162">
        <v>1</v>
      </c>
      <c r="AB91" s="162">
        <f t="shared" si="3"/>
        <v>9</v>
      </c>
      <c r="AC91" s="81"/>
      <c r="AD91" s="7"/>
      <c r="AE91" s="7"/>
      <c r="AF91" s="7"/>
      <c r="AG91" s="7"/>
      <c r="AH91" s="7"/>
      <c r="AI91" s="7"/>
      <c r="AJ91" s="7"/>
    </row>
    <row r="92" spans="2:36" ht="19.899999999999999" customHeight="1" x14ac:dyDescent="0.3">
      <c r="B92" s="84" t="s">
        <v>231</v>
      </c>
      <c r="C92" s="102" t="s">
        <v>22</v>
      </c>
      <c r="D92" s="306" t="s">
        <v>183</v>
      </c>
      <c r="E92" s="307"/>
      <c r="F92" s="307" t="s">
        <v>149</v>
      </c>
      <c r="G92" s="307"/>
      <c r="H92" s="306" t="s">
        <v>183</v>
      </c>
      <c r="I92" s="307"/>
      <c r="J92" s="307" t="s">
        <v>183</v>
      </c>
      <c r="K92" s="308"/>
      <c r="L92" s="306" t="s">
        <v>149</v>
      </c>
      <c r="M92" s="307"/>
      <c r="N92" s="307" t="s">
        <v>183</v>
      </c>
      <c r="O92" s="308"/>
      <c r="P92" s="306" t="s">
        <v>183</v>
      </c>
      <c r="Q92" s="307"/>
      <c r="R92" s="307" t="s">
        <v>183</v>
      </c>
      <c r="S92" s="308"/>
      <c r="T92" s="306" t="s">
        <v>183</v>
      </c>
      <c r="U92" s="307"/>
      <c r="V92" s="307" t="s">
        <v>183</v>
      </c>
      <c r="W92" s="308"/>
      <c r="X92" s="143">
        <f t="shared" si="2"/>
        <v>8</v>
      </c>
      <c r="Y92" s="160"/>
      <c r="Z92" s="162">
        <v>10</v>
      </c>
      <c r="AA92" s="162"/>
      <c r="AB92" s="162">
        <f t="shared" si="3"/>
        <v>10</v>
      </c>
      <c r="AC92" s="81"/>
      <c r="AD92" s="7"/>
      <c r="AE92" s="7"/>
      <c r="AF92" s="7"/>
      <c r="AG92" s="7"/>
      <c r="AH92" s="7"/>
      <c r="AI92" s="7"/>
      <c r="AJ92" s="7"/>
    </row>
    <row r="93" spans="2:36" ht="19.899999999999999" customHeight="1" x14ac:dyDescent="0.3">
      <c r="B93" s="85" t="s">
        <v>232</v>
      </c>
      <c r="C93" s="102" t="s">
        <v>28</v>
      </c>
      <c r="D93" s="306" t="s">
        <v>149</v>
      </c>
      <c r="E93" s="307"/>
      <c r="F93" s="307" t="s">
        <v>149</v>
      </c>
      <c r="G93" s="307"/>
      <c r="H93" s="306" t="s">
        <v>149</v>
      </c>
      <c r="I93" s="307"/>
      <c r="J93" s="307" t="s">
        <v>183</v>
      </c>
      <c r="K93" s="308"/>
      <c r="L93" s="306" t="s">
        <v>149</v>
      </c>
      <c r="M93" s="307"/>
      <c r="N93" s="307" t="s">
        <v>183</v>
      </c>
      <c r="O93" s="308"/>
      <c r="P93" s="306" t="s">
        <v>149</v>
      </c>
      <c r="Q93" s="307"/>
      <c r="R93" s="307" t="s">
        <v>149</v>
      </c>
      <c r="S93" s="308"/>
      <c r="T93" s="343" t="s">
        <v>193</v>
      </c>
      <c r="U93" s="344"/>
      <c r="V93" s="344" t="s">
        <v>193</v>
      </c>
      <c r="W93" s="345"/>
      <c r="X93" s="124">
        <f t="shared" si="2"/>
        <v>8</v>
      </c>
      <c r="Y93" s="160"/>
      <c r="Z93" s="162">
        <v>8</v>
      </c>
      <c r="AA93" s="162">
        <v>2</v>
      </c>
      <c r="AB93" s="162">
        <f t="shared" si="3"/>
        <v>8</v>
      </c>
      <c r="AC93" s="81"/>
      <c r="AD93" s="7"/>
      <c r="AE93" s="7"/>
      <c r="AF93" s="7"/>
      <c r="AG93" s="7"/>
      <c r="AH93" s="7"/>
      <c r="AI93" s="7"/>
      <c r="AJ93" s="7"/>
    </row>
    <row r="94" spans="2:36" ht="19.899999999999999" customHeight="1" thickBot="1" x14ac:dyDescent="0.35">
      <c r="B94" s="85"/>
      <c r="C94" s="115"/>
      <c r="D94" s="312"/>
      <c r="E94" s="313"/>
      <c r="F94" s="313"/>
      <c r="G94" s="313"/>
      <c r="H94" s="312"/>
      <c r="I94" s="313"/>
      <c r="J94" s="313"/>
      <c r="K94" s="317"/>
      <c r="L94" s="312"/>
      <c r="M94" s="313"/>
      <c r="N94" s="313"/>
      <c r="O94" s="317"/>
      <c r="P94" s="312"/>
      <c r="Q94" s="313"/>
      <c r="R94" s="313"/>
      <c r="S94" s="317"/>
      <c r="T94" s="306"/>
      <c r="U94" s="307"/>
      <c r="V94" s="307"/>
      <c r="W94" s="308"/>
      <c r="X94" s="134">
        <f>SUM(X71:X93)</f>
        <v>140</v>
      </c>
      <c r="Y94" s="160"/>
      <c r="Z94" s="162">
        <f>SUM(Z71:Z93)</f>
        <v>143</v>
      </c>
      <c r="AA94" s="162">
        <f>SUM(AA71:AA93)</f>
        <v>30</v>
      </c>
      <c r="AB94" s="162">
        <f>SUM(AB71:AB93)</f>
        <v>190</v>
      </c>
      <c r="AC94" s="81"/>
      <c r="AD94" s="7"/>
      <c r="AE94" s="7"/>
      <c r="AF94" s="7"/>
      <c r="AG94" s="7"/>
      <c r="AH94" s="7"/>
      <c r="AI94" s="7"/>
      <c r="AJ94" s="7"/>
    </row>
    <row r="95" spans="2:36" ht="19.899999999999999" customHeight="1" thickBot="1" x14ac:dyDescent="0.35">
      <c r="B95" s="74"/>
      <c r="C95" s="74"/>
    </row>
    <row r="96" spans="2:36" s="75" customFormat="1" ht="19.899999999999999" customHeight="1" x14ac:dyDescent="0.3">
      <c r="B96" s="211">
        <v>46143</v>
      </c>
      <c r="C96" s="77"/>
      <c r="D96" s="213" t="s">
        <v>5</v>
      </c>
      <c r="E96" s="214"/>
      <c r="F96" s="214"/>
      <c r="G96" s="214"/>
      <c r="H96" s="213" t="s">
        <v>6</v>
      </c>
      <c r="I96" s="214"/>
      <c r="J96" s="214"/>
      <c r="K96" s="215"/>
      <c r="L96" s="213" t="s">
        <v>7</v>
      </c>
      <c r="M96" s="214"/>
      <c r="N96" s="214"/>
      <c r="O96" s="215"/>
      <c r="P96" s="213" t="s">
        <v>8</v>
      </c>
      <c r="Q96" s="214"/>
      <c r="R96" s="214"/>
      <c r="S96" s="215"/>
      <c r="T96" s="9" t="str">
        <f>IF(DAY(MaySun1)=1,IF(AND(YEAR(MaySun1+14)=CalendarYear,MONTH(MaySun1+14)=5),MaySun1+14,""),IF(AND(YEAR(MaySun1+21)=CalendarYear,MONTH(MaySun1+21)=5),MaySun1+21,""))</f>
        <v/>
      </c>
      <c r="U96" s="9" t="str">
        <f>IF(DAY(MaySun1)=1,IF(AND(YEAR(MaySun1+15)=CalendarYear,MONTH(MaySun1+15)=5),MaySun1+15,""),IF(AND(YEAR(MaySun1+22)=CalendarYear,MONTH(MaySun1+22)=5),MaySun1+22,""))</f>
        <v/>
      </c>
      <c r="V96" s="9" t="str">
        <f>IF(DAY(MaySun1)=1,IF(AND(YEAR(MaySun1+16)=CalendarYear,MONTH(MaySun1+16)=5),MaySun1+16,""),IF(AND(YEAR(MaySun1+23)=CalendarYear,MONTH(MaySun1+23)=5),MaySun1+23,""))</f>
        <v/>
      </c>
      <c r="W96" s="9" t="str">
        <f>IF(DAY(MaySun1)=1,IF(AND(YEAR(MaySun1+17)=CalendarYear,MONTH(MaySun1+17)=5),MaySun1+17,""),IF(AND(YEAR(MaySun1+24)=CalendarYear,MONTH(MaySun1+24)=5),MaySun1+24,""))</f>
        <v/>
      </c>
      <c r="X96" s="9" t="str">
        <f>IF(DAY(MaySun1)=1,IF(AND(YEAR(MaySun1+18)=CalendarYear,MONTH(MaySun1+18)=5),MaySun1+18,""),IF(AND(YEAR(MaySun1+25)=CalendarYear,MONTH(MaySun1+25)=5),MaySun1+25,""))</f>
        <v/>
      </c>
      <c r="Y96" s="9" t="str">
        <f>IF(DAY(MaySun1)=1,IF(AND(YEAR(MaySun1+19)=CalendarYear,MONTH(MaySun1+19)=5),MaySun1+19,""),IF(AND(YEAR(MaySun1+26)=CalendarYear,MONTH(MaySun1+26)=5),MaySun1+26,""))</f>
        <v/>
      </c>
      <c r="Z96" s="9" t="str">
        <f>IF(DAY(MaySun1)=1,IF(AND(YEAR(MaySun1+20)=CalendarYear,MONTH(MaySun1+20)=5),MaySun1+20,""),IF(AND(YEAR(MaySun1+27)=CalendarYear,MONTH(MaySun1+27)=5),MaySun1+27,""))</f>
        <v/>
      </c>
      <c r="AA96" s="9" t="str">
        <f>IF(DAY(MaySun1)=1,IF(AND(YEAR(MaySun1+21)=CalendarYear,MONTH(MaySun1+21)=5),MaySun1+21,""),IF(AND(YEAR(MaySun1+28)=CalendarYear,MONTH(MaySun1+28)=5),MaySun1+28,""))</f>
        <v/>
      </c>
      <c r="AB96" s="9" t="str">
        <f>IF(DAY(MaySun1)=1,IF(AND(YEAR(MaySun1+22)=CalendarYear,MONTH(MaySun1+22)=5),MaySun1+22,""),IF(AND(YEAR(MaySun1+29)=CalendarYear,MONTH(MaySun1+29)=5),MaySun1+29,""))</f>
        <v/>
      </c>
      <c r="AC96" s="9" t="str">
        <f>IF(DAY(MaySun1)=1,IF(AND(YEAR(MaySun1+23)=CalendarYear,MONTH(MaySun1+23)=5),MaySun1+23,""),IF(AND(YEAR(MaySun1+30)=CalendarYear,MONTH(MaySun1+30)=5),MaySun1+30,""))</f>
        <v/>
      </c>
      <c r="AD96" s="9" t="str">
        <f>IF(DAY(MaySun1)=1,IF(AND(YEAR(MaySun1+24)=CalendarYear,MONTH(MaySun1+24)=5),MaySun1+24,""),IF(AND(YEAR(MaySun1+31)=CalendarYear,MONTH(MaySun1+31)=5),MaySun1+31,""))</f>
        <v/>
      </c>
      <c r="AE96" s="9" t="str">
        <f>IF(DAY(MaySun1)=1,IF(AND(YEAR(MaySun1+25)=CalendarYear,MONTH(MaySun1+25)=5),MaySun1+25,""),IF(AND(YEAR(MaySun1+32)=CalendarYear,MONTH(MaySun1+32)=5),MaySun1+32,""))</f>
        <v/>
      </c>
      <c r="AF96" s="9" t="str">
        <f>IF(DAY(MaySun1)=1,IF(AND(YEAR(MaySun1+26)=CalendarYear,MONTH(MaySun1+26)=5),MaySun1+26,""),IF(AND(YEAR(MaySun1+33)=CalendarYear,MONTH(MaySun1+33)=5),MaySun1+33,""))</f>
        <v/>
      </c>
      <c r="AG96" s="9" t="str">
        <f>IF(DAY(MaySun1)=1,IF(AND(YEAR(MaySun1+27)=CalendarYear,MONTH(MaySun1+27)=5),MaySun1+27,""),IF(AND(YEAR(MaySun1+34)=CalendarYear,MONTH(MaySun1+34)=5),MaySun1+34,""))</f>
        <v/>
      </c>
      <c r="AH96" s="9" t="str">
        <f>IF(DAY(MaySun1)=1,IF(AND(YEAR(MaySun1+28)=CalendarYear,MONTH(MaySun1+28)=5),MaySun1+28,""),IF(AND(YEAR(MaySun1+35)=CalendarYear,MONTH(MaySun1+35)=5),MaySun1+35,""))</f>
        <v/>
      </c>
      <c r="AI96" s="9" t="str">
        <f>IF(DAY(MaySun1)=1,IF(AND(YEAR(MaySun1+29)=CalendarYear,MONTH(MaySun1+29)=5),MaySun1+29,""),IF(AND(YEAR(MaySun1+36)=CalendarYear,MONTH(MaySun1+36)=5),MaySun1+36,""))</f>
        <v/>
      </c>
      <c r="AJ96" s="11" t="str">
        <f>IF(DAY(MaySun1)=1,IF(AND(YEAR(MaySun1+30)=CalendarYear,MONTH(MaySun1+30)=5),MaySun1+30,""),IF(AND(YEAR(MaySun1+37)=CalendarYear,MONTH(MaySun1+37)=5),MaySun1+37,""))</f>
        <v/>
      </c>
    </row>
    <row r="97" spans="2:36" s="75" customFormat="1" ht="19.899999999999999" customHeight="1" x14ac:dyDescent="0.3">
      <c r="B97" s="212"/>
      <c r="C97" s="78"/>
      <c r="D97" s="318" t="s">
        <v>45</v>
      </c>
      <c r="E97" s="319"/>
      <c r="F97" s="319"/>
      <c r="G97" s="320"/>
      <c r="H97" s="318" t="s">
        <v>46</v>
      </c>
      <c r="I97" s="319"/>
      <c r="J97" s="319"/>
      <c r="K97" s="321"/>
      <c r="L97" s="318" t="s">
        <v>47</v>
      </c>
      <c r="M97" s="319"/>
      <c r="N97" s="319"/>
      <c r="O97" s="321"/>
      <c r="P97" s="318" t="s">
        <v>48</v>
      </c>
      <c r="Q97" s="319"/>
      <c r="R97" s="319"/>
      <c r="S97" s="321"/>
      <c r="T97" s="10"/>
      <c r="U97" s="10"/>
      <c r="V97" s="10"/>
      <c r="W97" s="10"/>
      <c r="X97" s="10"/>
      <c r="Y97" s="10"/>
      <c r="Z97" s="161" t="s">
        <v>196</v>
      </c>
      <c r="AA97" s="161" t="s">
        <v>197</v>
      </c>
      <c r="AB97" s="161" t="s">
        <v>198</v>
      </c>
      <c r="AC97" s="10"/>
      <c r="AD97" s="10"/>
      <c r="AE97" s="10"/>
      <c r="AF97" s="10"/>
      <c r="AG97" s="10"/>
      <c r="AH97" s="10"/>
      <c r="AI97" s="10"/>
      <c r="AJ97" s="12"/>
    </row>
    <row r="98" spans="2:36" ht="19.899999999999999" customHeight="1" x14ac:dyDescent="0.3">
      <c r="B98" s="85" t="s">
        <v>205</v>
      </c>
      <c r="C98" s="115" t="s">
        <v>24</v>
      </c>
      <c r="D98" s="306" t="s">
        <v>183</v>
      </c>
      <c r="E98" s="307"/>
      <c r="F98" s="307" t="s">
        <v>183</v>
      </c>
      <c r="G98" s="307"/>
      <c r="H98" s="306" t="s">
        <v>183</v>
      </c>
      <c r="I98" s="307"/>
      <c r="J98" s="307" t="s">
        <v>183</v>
      </c>
      <c r="K98" s="308"/>
      <c r="L98" s="306" t="s">
        <v>183</v>
      </c>
      <c r="M98" s="307"/>
      <c r="N98" s="307" t="s">
        <v>183</v>
      </c>
      <c r="O98" s="308"/>
      <c r="P98" s="306"/>
      <c r="Q98" s="307"/>
      <c r="R98" s="307"/>
      <c r="S98" s="308"/>
      <c r="T98" s="81"/>
      <c r="U98" s="7"/>
      <c r="V98" s="7"/>
      <c r="W98" s="7"/>
      <c r="X98" s="7"/>
      <c r="Y98" s="7"/>
      <c r="Z98" s="176">
        <v>6</v>
      </c>
      <c r="AA98" s="176"/>
      <c r="AB98" s="176">
        <f>8-AA98</f>
        <v>8</v>
      </c>
      <c r="AC98" s="7"/>
      <c r="AD98" s="7"/>
      <c r="AE98" s="7"/>
      <c r="AF98" s="7"/>
      <c r="AG98" s="7"/>
      <c r="AH98" s="7"/>
      <c r="AI98" s="7"/>
      <c r="AJ98" s="7"/>
    </row>
    <row r="99" spans="2:36" ht="19.899999999999999" customHeight="1" x14ac:dyDescent="0.3">
      <c r="B99" s="85" t="s">
        <v>241</v>
      </c>
      <c r="C99" s="104" t="s">
        <v>237</v>
      </c>
      <c r="D99" s="306"/>
      <c r="E99" s="307"/>
      <c r="F99" s="307"/>
      <c r="G99" s="307"/>
      <c r="H99" s="306" t="s">
        <v>149</v>
      </c>
      <c r="I99" s="307"/>
      <c r="J99" s="307" t="s">
        <v>183</v>
      </c>
      <c r="K99" s="308"/>
      <c r="L99" s="306" t="s">
        <v>183</v>
      </c>
      <c r="M99" s="307"/>
      <c r="N99" s="307"/>
      <c r="O99" s="308"/>
      <c r="P99" s="306" t="s">
        <v>183</v>
      </c>
      <c r="Q99" s="307"/>
      <c r="R99" s="307"/>
      <c r="S99" s="308"/>
      <c r="T99" s="81"/>
      <c r="U99" s="7"/>
      <c r="V99" s="7"/>
      <c r="W99" s="7"/>
      <c r="X99" s="7"/>
      <c r="Y99" s="7"/>
      <c r="Z99" s="178">
        <v>4</v>
      </c>
      <c r="AA99" s="178"/>
      <c r="AB99" s="178">
        <f t="shared" ref="AB99:AB121" si="4">8-AA99</f>
        <v>8</v>
      </c>
      <c r="AC99" s="7"/>
      <c r="AD99" s="7"/>
      <c r="AE99" s="7"/>
      <c r="AF99" s="7"/>
      <c r="AG99" s="7"/>
      <c r="AH99" s="7"/>
      <c r="AI99" s="7"/>
      <c r="AJ99" s="7"/>
    </row>
    <row r="100" spans="2:36" ht="19.899999999999999" customHeight="1" x14ac:dyDescent="0.3">
      <c r="B100" s="84" t="s">
        <v>206</v>
      </c>
      <c r="C100" s="104" t="s">
        <v>237</v>
      </c>
      <c r="D100" s="306"/>
      <c r="E100" s="307"/>
      <c r="F100" s="307"/>
      <c r="G100" s="307"/>
      <c r="H100" s="306"/>
      <c r="I100" s="307"/>
      <c r="J100" s="307"/>
      <c r="K100" s="308"/>
      <c r="L100" s="306"/>
      <c r="M100" s="307"/>
      <c r="N100" s="307"/>
      <c r="O100" s="308"/>
      <c r="P100" s="306"/>
      <c r="Q100" s="307"/>
      <c r="R100" s="307"/>
      <c r="S100" s="308"/>
      <c r="T100" s="81"/>
      <c r="U100" s="7"/>
      <c r="V100" s="7"/>
      <c r="W100" s="7"/>
      <c r="X100" s="7"/>
      <c r="Y100" s="7"/>
      <c r="Z100" s="178">
        <v>0</v>
      </c>
      <c r="AA100" s="178"/>
      <c r="AB100" s="178">
        <f t="shared" si="4"/>
        <v>8</v>
      </c>
      <c r="AC100" s="7"/>
      <c r="AD100" s="7"/>
      <c r="AE100" s="7"/>
      <c r="AF100" s="7"/>
      <c r="AG100" s="7"/>
      <c r="AH100" s="7"/>
      <c r="AI100" s="7"/>
      <c r="AJ100" s="7"/>
    </row>
    <row r="101" spans="2:36" ht="19.899999999999999" customHeight="1" x14ac:dyDescent="0.3">
      <c r="B101" s="84" t="s">
        <v>208</v>
      </c>
      <c r="C101" s="102" t="s">
        <v>22</v>
      </c>
      <c r="D101" s="306" t="s">
        <v>149</v>
      </c>
      <c r="E101" s="307"/>
      <c r="F101" s="307" t="s">
        <v>183</v>
      </c>
      <c r="G101" s="307"/>
      <c r="H101" s="306" t="s">
        <v>149</v>
      </c>
      <c r="I101" s="307"/>
      <c r="J101" s="307" t="s">
        <v>183</v>
      </c>
      <c r="K101" s="308"/>
      <c r="L101" s="306" t="s">
        <v>149</v>
      </c>
      <c r="M101" s="307"/>
      <c r="N101" s="307" t="s">
        <v>149</v>
      </c>
      <c r="O101" s="308"/>
      <c r="P101" s="306" t="s">
        <v>183</v>
      </c>
      <c r="Q101" s="307"/>
      <c r="R101" s="307" t="s">
        <v>149</v>
      </c>
      <c r="S101" s="308"/>
      <c r="T101" s="81"/>
      <c r="U101" s="7"/>
      <c r="V101" s="7"/>
      <c r="W101" s="7"/>
      <c r="X101" s="7"/>
      <c r="Y101" s="7"/>
      <c r="Z101" s="176">
        <v>8</v>
      </c>
      <c r="AA101" s="176"/>
      <c r="AB101" s="176">
        <f t="shared" si="4"/>
        <v>8</v>
      </c>
      <c r="AC101" s="7"/>
      <c r="AD101" s="7"/>
      <c r="AE101" s="7"/>
      <c r="AF101" s="7"/>
      <c r="AG101" s="7"/>
      <c r="AH101" s="7"/>
      <c r="AI101" s="7"/>
      <c r="AJ101" s="7"/>
    </row>
    <row r="102" spans="2:36" ht="19.899999999999999" customHeight="1" x14ac:dyDescent="0.3">
      <c r="B102" s="84" t="s">
        <v>209</v>
      </c>
      <c r="C102" s="102" t="s">
        <v>22</v>
      </c>
      <c r="D102" s="306" t="s">
        <v>183</v>
      </c>
      <c r="E102" s="307"/>
      <c r="F102" s="307"/>
      <c r="G102" s="307"/>
      <c r="H102" s="306"/>
      <c r="I102" s="307"/>
      <c r="J102" s="307"/>
      <c r="K102" s="308"/>
      <c r="L102" s="306"/>
      <c r="M102" s="307"/>
      <c r="N102" s="307"/>
      <c r="O102" s="308"/>
      <c r="P102" s="306"/>
      <c r="Q102" s="307"/>
      <c r="R102" s="307"/>
      <c r="S102" s="308"/>
      <c r="T102" s="81"/>
      <c r="U102" s="7"/>
      <c r="V102" s="7"/>
      <c r="W102" s="7"/>
      <c r="X102" s="7"/>
      <c r="Y102" s="7"/>
      <c r="Z102" s="176">
        <v>1</v>
      </c>
      <c r="AA102" s="176"/>
      <c r="AB102" s="176">
        <f t="shared" si="4"/>
        <v>8</v>
      </c>
      <c r="AC102" s="7"/>
      <c r="AD102" s="7"/>
      <c r="AE102" s="7"/>
      <c r="AF102" s="7"/>
      <c r="AG102" s="7"/>
      <c r="AH102" s="7"/>
      <c r="AI102" s="7"/>
      <c r="AJ102" s="176"/>
    </row>
    <row r="103" spans="2:36" ht="19.899999999999999" customHeight="1" x14ac:dyDescent="0.3">
      <c r="B103" s="84" t="s">
        <v>210</v>
      </c>
      <c r="C103" s="104" t="s">
        <v>237</v>
      </c>
      <c r="D103" s="343" t="s">
        <v>242</v>
      </c>
      <c r="E103" s="344"/>
      <c r="F103" s="344" t="s">
        <v>242</v>
      </c>
      <c r="G103" s="344"/>
      <c r="H103" s="343" t="s">
        <v>242</v>
      </c>
      <c r="I103" s="344"/>
      <c r="J103" s="344" t="s">
        <v>242</v>
      </c>
      <c r="K103" s="344"/>
      <c r="L103" s="306"/>
      <c r="M103" s="307"/>
      <c r="N103" s="307"/>
      <c r="O103" s="308"/>
      <c r="P103" s="306"/>
      <c r="Q103" s="307"/>
      <c r="R103" s="307"/>
      <c r="S103" s="308"/>
      <c r="T103" s="81"/>
      <c r="U103" s="7"/>
      <c r="V103" s="7"/>
      <c r="W103" s="7"/>
      <c r="X103" s="7"/>
      <c r="Y103" s="7"/>
      <c r="Z103" s="178">
        <v>0</v>
      </c>
      <c r="AA103" s="178">
        <v>4</v>
      </c>
      <c r="AB103" s="178">
        <f t="shared" si="4"/>
        <v>4</v>
      </c>
      <c r="AC103" s="7"/>
      <c r="AD103" s="7"/>
      <c r="AE103" s="7"/>
      <c r="AF103" s="7"/>
      <c r="AG103" s="7"/>
      <c r="AH103" s="7"/>
      <c r="AI103" s="7"/>
      <c r="AJ103" s="176"/>
    </row>
    <row r="104" spans="2:36" ht="19.899999999999999" customHeight="1" x14ac:dyDescent="0.3">
      <c r="B104" s="84" t="s">
        <v>243</v>
      </c>
      <c r="C104" s="104" t="s">
        <v>237</v>
      </c>
      <c r="D104" s="327"/>
      <c r="E104" s="329"/>
      <c r="F104" s="359"/>
      <c r="G104" s="329"/>
      <c r="H104" s="327" t="s">
        <v>183</v>
      </c>
      <c r="I104" s="329"/>
      <c r="J104" s="359"/>
      <c r="K104" s="329"/>
      <c r="L104" s="327" t="s">
        <v>183</v>
      </c>
      <c r="M104" s="329"/>
      <c r="N104" s="359"/>
      <c r="O104" s="329"/>
      <c r="P104" s="327" t="s">
        <v>183</v>
      </c>
      <c r="Q104" s="329"/>
      <c r="R104" s="359" t="s">
        <v>183</v>
      </c>
      <c r="S104" s="333"/>
      <c r="T104" s="81"/>
      <c r="U104" s="7"/>
      <c r="V104" s="7"/>
      <c r="W104" s="7"/>
      <c r="X104" s="7"/>
      <c r="Y104" s="7"/>
      <c r="Z104" s="178">
        <v>4</v>
      </c>
      <c r="AA104" s="178"/>
      <c r="AB104" s="178">
        <f t="shared" si="4"/>
        <v>8</v>
      </c>
      <c r="AC104" s="7"/>
      <c r="AD104" s="7"/>
      <c r="AE104" s="7"/>
      <c r="AF104" s="7"/>
      <c r="AG104" s="7"/>
      <c r="AH104" s="7"/>
      <c r="AI104" s="7"/>
      <c r="AJ104" s="177"/>
    </row>
    <row r="105" spans="2:36" ht="19.899999999999999" customHeight="1" x14ac:dyDescent="0.3">
      <c r="B105" s="84" t="s">
        <v>212</v>
      </c>
      <c r="C105" s="104" t="s">
        <v>237</v>
      </c>
      <c r="D105" s="306"/>
      <c r="E105" s="307"/>
      <c r="F105" s="307"/>
      <c r="G105" s="307"/>
      <c r="H105" s="306" t="s">
        <v>199</v>
      </c>
      <c r="I105" s="307"/>
      <c r="J105" s="307" t="s">
        <v>199</v>
      </c>
      <c r="K105" s="308"/>
      <c r="L105" s="306" t="s">
        <v>199</v>
      </c>
      <c r="M105" s="307"/>
      <c r="N105" s="307" t="s">
        <v>199</v>
      </c>
      <c r="O105" s="308"/>
      <c r="P105" s="306" t="s">
        <v>199</v>
      </c>
      <c r="Q105" s="307"/>
      <c r="R105" s="307" t="s">
        <v>199</v>
      </c>
      <c r="S105" s="308"/>
      <c r="T105" s="81"/>
      <c r="U105" s="7"/>
      <c r="V105" s="7"/>
      <c r="W105" s="7"/>
      <c r="X105" s="7"/>
      <c r="Y105" s="7"/>
      <c r="Z105" s="178">
        <v>0</v>
      </c>
      <c r="AA105" s="178">
        <v>6</v>
      </c>
      <c r="AB105" s="178">
        <f t="shared" si="4"/>
        <v>2</v>
      </c>
      <c r="AC105" s="7"/>
      <c r="AD105" s="7"/>
      <c r="AE105" s="7"/>
      <c r="AF105" s="7"/>
      <c r="AG105" s="7"/>
      <c r="AH105" s="7"/>
      <c r="AI105" s="7"/>
      <c r="AJ105" s="7"/>
    </row>
    <row r="106" spans="2:36" ht="19.899999999999999" customHeight="1" x14ac:dyDescent="0.3">
      <c r="B106" s="84" t="s">
        <v>238</v>
      </c>
      <c r="C106" s="102" t="s">
        <v>22</v>
      </c>
      <c r="D106" s="327"/>
      <c r="E106" s="329"/>
      <c r="F106" s="359"/>
      <c r="G106" s="329"/>
      <c r="H106" s="327"/>
      <c r="I106" s="329"/>
      <c r="J106" s="359"/>
      <c r="K106" s="333"/>
      <c r="L106" s="327"/>
      <c r="M106" s="329"/>
      <c r="N106" s="359"/>
      <c r="O106" s="333"/>
      <c r="P106" s="327"/>
      <c r="Q106" s="329"/>
      <c r="R106" s="359"/>
      <c r="S106" s="333"/>
      <c r="T106" s="81"/>
      <c r="U106" s="7"/>
      <c r="V106" s="7"/>
      <c r="W106" s="7"/>
      <c r="X106" s="7"/>
      <c r="Y106" s="7"/>
      <c r="Z106" s="176">
        <v>0</v>
      </c>
      <c r="AA106" s="176">
        <v>8</v>
      </c>
      <c r="AB106" s="176">
        <f t="shared" si="4"/>
        <v>0</v>
      </c>
      <c r="AC106" s="7"/>
      <c r="AD106" s="363" t="s">
        <v>244</v>
      </c>
      <c r="AE106" s="364"/>
      <c r="AF106" s="364"/>
      <c r="AG106" s="364"/>
      <c r="AH106" s="364"/>
      <c r="AI106" s="364"/>
      <c r="AJ106" s="365"/>
    </row>
    <row r="107" spans="2:36" ht="19.899999999999999" customHeight="1" x14ac:dyDescent="0.3">
      <c r="B107" s="84" t="s">
        <v>214</v>
      </c>
      <c r="C107" s="104" t="s">
        <v>237</v>
      </c>
      <c r="D107" s="343" t="s">
        <v>242</v>
      </c>
      <c r="E107" s="344"/>
      <c r="F107" s="344" t="s">
        <v>242</v>
      </c>
      <c r="G107" s="344"/>
      <c r="H107" s="343" t="s">
        <v>242</v>
      </c>
      <c r="I107" s="344"/>
      <c r="J107" s="344" t="s">
        <v>242</v>
      </c>
      <c r="K107" s="344"/>
      <c r="L107" s="306"/>
      <c r="M107" s="307"/>
      <c r="N107" s="307"/>
      <c r="O107" s="308"/>
      <c r="P107" s="306"/>
      <c r="Q107" s="307"/>
      <c r="R107" s="307"/>
      <c r="S107" s="308"/>
      <c r="T107" s="81"/>
      <c r="U107" s="7"/>
      <c r="V107" s="7"/>
      <c r="W107" s="7"/>
      <c r="X107" s="7"/>
      <c r="Y107" s="7"/>
      <c r="Z107" s="178">
        <v>0</v>
      </c>
      <c r="AA107" s="178">
        <v>4</v>
      </c>
      <c r="AB107" s="178">
        <f t="shared" si="4"/>
        <v>4</v>
      </c>
      <c r="AC107" s="7"/>
      <c r="AD107" s="7"/>
      <c r="AE107" s="7"/>
      <c r="AF107" s="7"/>
      <c r="AG107" s="7"/>
      <c r="AH107" s="7"/>
      <c r="AI107" s="7"/>
      <c r="AJ107" s="7"/>
    </row>
    <row r="108" spans="2:36" ht="19.899999999999999" customHeight="1" x14ac:dyDescent="0.3">
      <c r="B108" s="84" t="s">
        <v>216</v>
      </c>
      <c r="C108" s="102" t="s">
        <v>22</v>
      </c>
      <c r="D108" s="306"/>
      <c r="E108" s="307"/>
      <c r="F108" s="307"/>
      <c r="G108" s="307"/>
      <c r="H108" s="306"/>
      <c r="I108" s="307"/>
      <c r="J108" s="307"/>
      <c r="K108" s="308"/>
      <c r="L108" s="306" t="s">
        <v>149</v>
      </c>
      <c r="M108" s="307"/>
      <c r="N108" s="307" t="s">
        <v>183</v>
      </c>
      <c r="O108" s="308"/>
      <c r="P108" s="306" t="s">
        <v>199</v>
      </c>
      <c r="Q108" s="307"/>
      <c r="R108" s="307" t="s">
        <v>199</v>
      </c>
      <c r="S108" s="308"/>
      <c r="T108" s="81"/>
      <c r="U108" s="7"/>
      <c r="V108" s="7"/>
      <c r="W108" s="7"/>
      <c r="X108" s="7"/>
      <c r="Y108" s="7"/>
      <c r="Z108" s="176">
        <v>2</v>
      </c>
      <c r="AA108" s="176">
        <v>2</v>
      </c>
      <c r="AB108" s="176">
        <f t="shared" si="4"/>
        <v>6</v>
      </c>
      <c r="AC108" s="7"/>
      <c r="AD108" s="7"/>
      <c r="AE108" s="7"/>
      <c r="AF108" s="7"/>
      <c r="AG108" s="7"/>
      <c r="AH108" s="7"/>
      <c r="AI108" s="7"/>
      <c r="AJ108" s="7"/>
    </row>
    <row r="109" spans="2:36" ht="19.899999999999999" customHeight="1" x14ac:dyDescent="0.3">
      <c r="B109" s="84" t="s">
        <v>217</v>
      </c>
      <c r="C109" s="104" t="s">
        <v>237</v>
      </c>
      <c r="D109" s="306" t="s">
        <v>183</v>
      </c>
      <c r="E109" s="307"/>
      <c r="F109" s="307" t="s">
        <v>183</v>
      </c>
      <c r="G109" s="307"/>
      <c r="H109" s="306" t="s">
        <v>183</v>
      </c>
      <c r="I109" s="307"/>
      <c r="J109" s="307" t="s">
        <v>183</v>
      </c>
      <c r="K109" s="308"/>
      <c r="L109" s="306" t="s">
        <v>183</v>
      </c>
      <c r="M109" s="307"/>
      <c r="N109" s="307" t="s">
        <v>183</v>
      </c>
      <c r="O109" s="308"/>
      <c r="P109" s="306" t="s">
        <v>183</v>
      </c>
      <c r="Q109" s="307"/>
      <c r="R109" s="307" t="s">
        <v>183</v>
      </c>
      <c r="S109" s="308"/>
      <c r="T109" s="81"/>
      <c r="U109" s="7"/>
      <c r="V109" s="7"/>
      <c r="W109" s="7"/>
      <c r="X109" s="7"/>
      <c r="Y109" s="7"/>
      <c r="Z109" s="176">
        <v>8</v>
      </c>
      <c r="AA109" s="176"/>
      <c r="AB109" s="176">
        <f t="shared" si="4"/>
        <v>8</v>
      </c>
      <c r="AC109" s="7"/>
      <c r="AD109" s="7"/>
      <c r="AE109" s="7"/>
      <c r="AF109" s="7"/>
      <c r="AG109" s="7"/>
      <c r="AH109" s="7"/>
      <c r="AI109" s="7"/>
      <c r="AJ109" s="7"/>
    </row>
    <row r="110" spans="2:36" ht="19.899999999999999" customHeight="1" x14ac:dyDescent="0.3">
      <c r="B110" s="85" t="s">
        <v>219</v>
      </c>
      <c r="C110" s="115" t="s">
        <v>26</v>
      </c>
      <c r="D110" s="327" t="s">
        <v>183</v>
      </c>
      <c r="E110" s="329"/>
      <c r="F110" s="359" t="s">
        <v>183</v>
      </c>
      <c r="G110" s="329"/>
      <c r="H110" s="327" t="s">
        <v>183</v>
      </c>
      <c r="I110" s="329"/>
      <c r="J110" s="359" t="s">
        <v>183</v>
      </c>
      <c r="K110" s="333"/>
      <c r="L110" s="327" t="s">
        <v>183</v>
      </c>
      <c r="M110" s="329"/>
      <c r="N110" s="359" t="s">
        <v>183</v>
      </c>
      <c r="O110" s="333"/>
      <c r="P110" s="327" t="s">
        <v>199</v>
      </c>
      <c r="Q110" s="329"/>
      <c r="R110" s="359" t="s">
        <v>183</v>
      </c>
      <c r="S110" s="333"/>
      <c r="T110" s="81"/>
      <c r="U110" s="7"/>
      <c r="V110" s="7"/>
      <c r="W110" s="7"/>
      <c r="X110" s="7"/>
      <c r="Y110" s="7"/>
      <c r="Z110" s="176">
        <v>7</v>
      </c>
      <c r="AA110" s="176"/>
      <c r="AB110" s="176">
        <f t="shared" si="4"/>
        <v>8</v>
      </c>
      <c r="AC110" s="7"/>
      <c r="AD110" s="7"/>
      <c r="AE110" s="7"/>
      <c r="AF110" s="7"/>
      <c r="AG110" s="7"/>
      <c r="AH110" s="7"/>
      <c r="AI110" s="7"/>
      <c r="AJ110" s="7"/>
    </row>
    <row r="111" spans="2:36" ht="19.899999999999999" customHeight="1" x14ac:dyDescent="0.3">
      <c r="B111" s="85" t="s">
        <v>245</v>
      </c>
      <c r="C111" s="104" t="s">
        <v>237</v>
      </c>
      <c r="D111" s="306"/>
      <c r="E111" s="307"/>
      <c r="F111" s="307"/>
      <c r="G111" s="307"/>
      <c r="H111" s="306"/>
      <c r="I111" s="307"/>
      <c r="J111" s="307"/>
      <c r="K111" s="308"/>
      <c r="L111" s="306"/>
      <c r="M111" s="307"/>
      <c r="N111" s="307"/>
      <c r="O111" s="308"/>
      <c r="P111" s="306"/>
      <c r="Q111" s="307"/>
      <c r="R111" s="307"/>
      <c r="S111" s="308"/>
      <c r="T111" s="81"/>
      <c r="U111" s="7"/>
      <c r="V111" s="7"/>
      <c r="W111" s="7"/>
      <c r="X111" s="7"/>
      <c r="Y111" s="7"/>
      <c r="Z111" s="178">
        <v>0</v>
      </c>
      <c r="AA111" s="178"/>
      <c r="AB111" s="178">
        <f t="shared" si="4"/>
        <v>8</v>
      </c>
      <c r="AC111" s="7"/>
      <c r="AD111" s="7"/>
      <c r="AE111" s="7"/>
      <c r="AF111" s="7"/>
      <c r="AG111" s="7"/>
      <c r="AH111" s="7"/>
      <c r="AI111" s="7"/>
      <c r="AJ111" s="7"/>
    </row>
    <row r="112" spans="2:36" ht="19.899999999999999" customHeight="1" x14ac:dyDescent="0.3">
      <c r="B112" s="84" t="s">
        <v>220</v>
      </c>
      <c r="C112" s="102" t="s">
        <v>22</v>
      </c>
      <c r="D112" s="306" t="s">
        <v>183</v>
      </c>
      <c r="E112" s="307"/>
      <c r="F112" s="307" t="s">
        <v>183</v>
      </c>
      <c r="G112" s="307"/>
      <c r="H112" s="306" t="s">
        <v>183</v>
      </c>
      <c r="I112" s="307"/>
      <c r="J112" s="307" t="s">
        <v>183</v>
      </c>
      <c r="K112" s="308"/>
      <c r="L112" s="306" t="s">
        <v>183</v>
      </c>
      <c r="M112" s="307"/>
      <c r="N112" s="307" t="s">
        <v>183</v>
      </c>
      <c r="O112" s="308"/>
      <c r="P112" s="306" t="s">
        <v>183</v>
      </c>
      <c r="Q112" s="307"/>
      <c r="R112" s="307" t="s">
        <v>183</v>
      </c>
      <c r="S112" s="308"/>
      <c r="T112" s="81"/>
      <c r="U112" s="7"/>
      <c r="V112" s="7"/>
      <c r="W112" s="7"/>
      <c r="X112" s="7"/>
      <c r="Y112" s="7"/>
      <c r="Z112" s="176">
        <v>8</v>
      </c>
      <c r="AA112" s="176"/>
      <c r="AB112" s="176">
        <f t="shared" si="4"/>
        <v>8</v>
      </c>
      <c r="AC112" s="7"/>
      <c r="AD112" s="7"/>
      <c r="AE112" s="7"/>
      <c r="AF112" s="7"/>
      <c r="AG112" s="7"/>
      <c r="AH112" s="7"/>
      <c r="AI112" s="7"/>
      <c r="AJ112" s="7"/>
    </row>
    <row r="113" spans="2:36" ht="19.899999999999999" customHeight="1" x14ac:dyDescent="0.3">
      <c r="B113" s="84" t="s">
        <v>221</v>
      </c>
      <c r="C113" s="104" t="s">
        <v>237</v>
      </c>
      <c r="D113" s="306" t="s">
        <v>183</v>
      </c>
      <c r="E113" s="307"/>
      <c r="F113" s="307" t="s">
        <v>183</v>
      </c>
      <c r="G113" s="307"/>
      <c r="H113" s="306" t="s">
        <v>149</v>
      </c>
      <c r="I113" s="307"/>
      <c r="J113" s="307" t="s">
        <v>183</v>
      </c>
      <c r="K113" s="308"/>
      <c r="L113" s="306" t="s">
        <v>246</v>
      </c>
      <c r="M113" s="307"/>
      <c r="N113" s="307" t="s">
        <v>183</v>
      </c>
      <c r="O113" s="308"/>
      <c r="P113" s="306" t="s">
        <v>149</v>
      </c>
      <c r="Q113" s="307"/>
      <c r="R113" s="307" t="s">
        <v>183</v>
      </c>
      <c r="S113" s="308"/>
      <c r="T113" s="81"/>
      <c r="U113" s="7"/>
      <c r="V113" s="7"/>
      <c r="W113" s="7"/>
      <c r="X113" s="7"/>
      <c r="Y113" s="7"/>
      <c r="Z113" s="178">
        <v>8</v>
      </c>
      <c r="AA113" s="178"/>
      <c r="AB113" s="178">
        <f t="shared" si="4"/>
        <v>8</v>
      </c>
      <c r="AC113" s="7"/>
      <c r="AD113" s="7"/>
      <c r="AE113" s="7"/>
      <c r="AF113" s="7"/>
      <c r="AG113" s="7"/>
      <c r="AH113" s="7"/>
      <c r="AI113" s="7"/>
      <c r="AJ113" s="7"/>
    </row>
    <row r="114" spans="2:36" ht="19.899999999999999" customHeight="1" x14ac:dyDescent="0.3">
      <c r="B114" s="84" t="s">
        <v>223</v>
      </c>
      <c r="C114" s="102" t="s">
        <v>22</v>
      </c>
      <c r="D114" s="306" t="s">
        <v>183</v>
      </c>
      <c r="E114" s="307"/>
      <c r="F114" s="307" t="s">
        <v>183</v>
      </c>
      <c r="G114" s="307"/>
      <c r="H114" s="306"/>
      <c r="I114" s="307"/>
      <c r="J114" s="307"/>
      <c r="K114" s="308"/>
      <c r="L114" s="306"/>
      <c r="M114" s="307"/>
      <c r="N114" s="307"/>
      <c r="O114" s="308"/>
      <c r="P114" s="306" t="s">
        <v>199</v>
      </c>
      <c r="Q114" s="307"/>
      <c r="R114" s="307" t="s">
        <v>199</v>
      </c>
      <c r="S114" s="308"/>
      <c r="T114" s="81"/>
      <c r="U114" s="7"/>
      <c r="V114" s="7"/>
      <c r="W114" s="7"/>
      <c r="X114" s="7"/>
      <c r="Y114" s="7"/>
      <c r="Z114" s="176">
        <v>2</v>
      </c>
      <c r="AA114" s="176"/>
      <c r="AB114" s="176">
        <f t="shared" si="4"/>
        <v>8</v>
      </c>
      <c r="AC114" s="7"/>
      <c r="AD114" s="7"/>
      <c r="AE114" s="7"/>
      <c r="AF114" s="7"/>
      <c r="AG114" s="7"/>
      <c r="AH114" s="7"/>
      <c r="AI114" s="7"/>
      <c r="AJ114" s="7"/>
    </row>
    <row r="115" spans="2:36" ht="19.899999999999999" customHeight="1" x14ac:dyDescent="0.3">
      <c r="B115" s="84" t="s">
        <v>224</v>
      </c>
      <c r="C115" s="102" t="s">
        <v>28</v>
      </c>
      <c r="D115" s="306" t="s">
        <v>149</v>
      </c>
      <c r="E115" s="307"/>
      <c r="F115" s="307" t="s">
        <v>183</v>
      </c>
      <c r="G115" s="307"/>
      <c r="H115" s="306" t="s">
        <v>149</v>
      </c>
      <c r="I115" s="307"/>
      <c r="J115" s="307" t="s">
        <v>183</v>
      </c>
      <c r="K115" s="308"/>
      <c r="L115" s="306" t="s">
        <v>183</v>
      </c>
      <c r="M115" s="307"/>
      <c r="N115" s="307" t="s">
        <v>183</v>
      </c>
      <c r="O115" s="308"/>
      <c r="P115" s="306" t="s">
        <v>183</v>
      </c>
      <c r="Q115" s="307"/>
      <c r="R115" s="307" t="s">
        <v>149</v>
      </c>
      <c r="S115" s="308"/>
      <c r="T115" s="81"/>
      <c r="U115" s="7"/>
      <c r="V115" s="7"/>
      <c r="W115" s="7"/>
      <c r="X115" s="7"/>
      <c r="Y115" s="7"/>
      <c r="Z115" s="176">
        <v>8</v>
      </c>
      <c r="AA115" s="176"/>
      <c r="AB115" s="176">
        <f t="shared" si="4"/>
        <v>8</v>
      </c>
      <c r="AC115" s="7"/>
      <c r="AD115" s="7"/>
      <c r="AE115" s="7"/>
      <c r="AF115" s="7"/>
      <c r="AG115" s="7"/>
      <c r="AH115" s="7"/>
      <c r="AI115" s="7"/>
      <c r="AJ115" s="7"/>
    </row>
    <row r="116" spans="2:36" ht="19.899999999999999" customHeight="1" x14ac:dyDescent="0.3">
      <c r="B116" s="84" t="s">
        <v>234</v>
      </c>
      <c r="C116" s="102" t="s">
        <v>22</v>
      </c>
      <c r="D116" s="306" t="s">
        <v>183</v>
      </c>
      <c r="E116" s="307"/>
      <c r="F116" s="307" t="s">
        <v>183</v>
      </c>
      <c r="G116" s="307"/>
      <c r="H116" s="306"/>
      <c r="I116" s="307"/>
      <c r="J116" s="307"/>
      <c r="K116" s="308"/>
      <c r="L116" s="306" t="s">
        <v>183</v>
      </c>
      <c r="M116" s="307"/>
      <c r="N116" s="307" t="s">
        <v>183</v>
      </c>
      <c r="O116" s="308"/>
      <c r="P116" s="306" t="s">
        <v>183</v>
      </c>
      <c r="Q116" s="307"/>
      <c r="R116" s="307" t="s">
        <v>183</v>
      </c>
      <c r="S116" s="308"/>
      <c r="T116" s="81"/>
      <c r="U116" s="130"/>
      <c r="V116" s="131"/>
      <c r="W116" s="131"/>
      <c r="X116" s="131"/>
      <c r="Y116" s="131"/>
      <c r="Z116" s="175">
        <v>6</v>
      </c>
      <c r="AA116" s="131"/>
      <c r="AB116" s="176">
        <f t="shared" si="4"/>
        <v>8</v>
      </c>
      <c r="AC116" s="132"/>
      <c r="AD116" s="7"/>
      <c r="AE116" s="7"/>
      <c r="AF116" s="7"/>
      <c r="AG116" s="7"/>
      <c r="AH116" s="7"/>
      <c r="AI116" s="7"/>
      <c r="AJ116" s="7"/>
    </row>
    <row r="117" spans="2:36" ht="19.899999999999999" customHeight="1" x14ac:dyDescent="0.3">
      <c r="B117" s="84" t="s">
        <v>226</v>
      </c>
      <c r="C117" s="102" t="s">
        <v>28</v>
      </c>
      <c r="D117" s="306" t="s">
        <v>183</v>
      </c>
      <c r="E117" s="307"/>
      <c r="F117" s="307" t="s">
        <v>183</v>
      </c>
      <c r="G117" s="307"/>
      <c r="H117" s="306"/>
      <c r="I117" s="307"/>
      <c r="J117" s="307"/>
      <c r="K117" s="308"/>
      <c r="L117" s="306" t="s">
        <v>183</v>
      </c>
      <c r="M117" s="307"/>
      <c r="N117" s="307" t="s">
        <v>183</v>
      </c>
      <c r="O117" s="308"/>
      <c r="P117" s="306"/>
      <c r="Q117" s="307"/>
      <c r="R117" s="307"/>
      <c r="S117" s="308"/>
      <c r="T117" s="81"/>
      <c r="U117" s="7"/>
      <c r="V117" s="7"/>
      <c r="W117" s="7"/>
      <c r="X117" s="7"/>
      <c r="Y117" s="7"/>
      <c r="Z117" s="176">
        <v>4</v>
      </c>
      <c r="AA117" s="176"/>
      <c r="AB117" s="176">
        <f t="shared" si="4"/>
        <v>8</v>
      </c>
      <c r="AC117" s="7"/>
      <c r="AD117" s="7"/>
      <c r="AE117" s="7"/>
      <c r="AF117" s="7"/>
      <c r="AG117" s="7"/>
      <c r="AH117" s="7"/>
      <c r="AI117" s="7"/>
      <c r="AJ117" s="7"/>
    </row>
    <row r="118" spans="2:36" ht="19.899999999999999" customHeight="1" x14ac:dyDescent="0.3">
      <c r="B118" s="85" t="s">
        <v>227</v>
      </c>
      <c r="C118" s="115" t="s">
        <v>24</v>
      </c>
      <c r="D118" s="306" t="s">
        <v>183</v>
      </c>
      <c r="E118" s="307"/>
      <c r="F118" s="307" t="s">
        <v>183</v>
      </c>
      <c r="G118" s="307"/>
      <c r="H118" s="306" t="s">
        <v>183</v>
      </c>
      <c r="I118" s="307"/>
      <c r="J118" s="307" t="s">
        <v>183</v>
      </c>
      <c r="K118" s="308"/>
      <c r="L118" s="306" t="s">
        <v>183</v>
      </c>
      <c r="M118" s="307"/>
      <c r="N118" s="307" t="s">
        <v>183</v>
      </c>
      <c r="O118" s="308"/>
      <c r="P118" s="306" t="s">
        <v>183</v>
      </c>
      <c r="Q118" s="307"/>
      <c r="R118" s="307" t="s">
        <v>183</v>
      </c>
      <c r="S118" s="308"/>
      <c r="T118" s="81"/>
      <c r="U118" s="7"/>
      <c r="V118" s="7"/>
      <c r="W118" s="7"/>
      <c r="X118" s="7"/>
      <c r="Y118" s="7"/>
      <c r="Z118" s="176">
        <v>8</v>
      </c>
      <c r="AA118" s="176"/>
      <c r="AB118" s="176">
        <f t="shared" si="4"/>
        <v>8</v>
      </c>
      <c r="AC118" s="7"/>
      <c r="AD118" s="7"/>
      <c r="AE118" s="7"/>
      <c r="AF118" s="7"/>
      <c r="AG118" s="7"/>
      <c r="AH118" s="7"/>
      <c r="AI118" s="7"/>
      <c r="AJ118" s="7"/>
    </row>
    <row r="119" spans="2:36" ht="19.899999999999999" customHeight="1" x14ac:dyDescent="0.3">
      <c r="B119" s="84" t="s">
        <v>228</v>
      </c>
      <c r="C119" s="102" t="s">
        <v>28</v>
      </c>
      <c r="D119" s="306" t="s">
        <v>183</v>
      </c>
      <c r="E119" s="307"/>
      <c r="F119" s="307" t="s">
        <v>183</v>
      </c>
      <c r="G119" s="307"/>
      <c r="H119" s="306" t="s">
        <v>199</v>
      </c>
      <c r="I119" s="307"/>
      <c r="J119" s="307" t="s">
        <v>199</v>
      </c>
      <c r="K119" s="308"/>
      <c r="L119" s="306" t="s">
        <v>183</v>
      </c>
      <c r="M119" s="307"/>
      <c r="N119" s="307" t="s">
        <v>183</v>
      </c>
      <c r="O119" s="308"/>
      <c r="P119" s="306"/>
      <c r="Q119" s="307"/>
      <c r="R119" s="307"/>
      <c r="S119" s="308"/>
      <c r="T119" s="81"/>
      <c r="U119" s="7"/>
      <c r="V119" s="7"/>
      <c r="W119" s="7"/>
      <c r="X119" s="7"/>
      <c r="Y119" s="7"/>
      <c r="Z119" s="176">
        <v>4</v>
      </c>
      <c r="AA119" s="176">
        <v>2</v>
      </c>
      <c r="AB119" s="176">
        <f t="shared" si="4"/>
        <v>6</v>
      </c>
      <c r="AC119" s="7"/>
      <c r="AD119" s="7"/>
      <c r="AE119" s="7"/>
      <c r="AF119" s="7"/>
      <c r="AG119" s="7"/>
      <c r="AH119" s="7"/>
      <c r="AI119" s="7"/>
      <c r="AJ119" s="7"/>
    </row>
    <row r="120" spans="2:36" ht="19.899999999999999" customHeight="1" x14ac:dyDescent="0.3">
      <c r="B120" s="84" t="s">
        <v>231</v>
      </c>
      <c r="C120" s="102" t="s">
        <v>22</v>
      </c>
      <c r="D120" s="306" t="s">
        <v>183</v>
      </c>
      <c r="E120" s="307"/>
      <c r="F120" s="307" t="s">
        <v>183</v>
      </c>
      <c r="G120" s="307"/>
      <c r="H120" s="306" t="s">
        <v>183</v>
      </c>
      <c r="I120" s="307"/>
      <c r="J120" s="307" t="s">
        <v>183</v>
      </c>
      <c r="K120" s="308"/>
      <c r="L120" s="306" t="s">
        <v>149</v>
      </c>
      <c r="M120" s="307"/>
      <c r="N120" s="307" t="s">
        <v>149</v>
      </c>
      <c r="O120" s="308"/>
      <c r="P120" s="306" t="s">
        <v>183</v>
      </c>
      <c r="Q120" s="307"/>
      <c r="R120" s="307" t="s">
        <v>183</v>
      </c>
      <c r="S120" s="308"/>
      <c r="T120" s="81"/>
      <c r="U120" s="7"/>
      <c r="V120" s="7"/>
      <c r="W120" s="7"/>
      <c r="X120" s="7"/>
      <c r="Y120" s="7"/>
      <c r="Z120" s="176">
        <v>8</v>
      </c>
      <c r="AA120" s="176"/>
      <c r="AB120" s="176">
        <f t="shared" si="4"/>
        <v>8</v>
      </c>
      <c r="AC120" s="7"/>
      <c r="AD120" s="7"/>
      <c r="AE120" s="7"/>
      <c r="AF120" s="7"/>
      <c r="AG120" s="7"/>
      <c r="AH120" s="7"/>
      <c r="AI120" s="7"/>
      <c r="AJ120" s="7"/>
    </row>
    <row r="121" spans="2:36" ht="19.899999999999999" customHeight="1" x14ac:dyDescent="0.3">
      <c r="B121" s="85" t="s">
        <v>232</v>
      </c>
      <c r="C121" s="102" t="s">
        <v>28</v>
      </c>
      <c r="D121" s="306" t="s">
        <v>149</v>
      </c>
      <c r="E121" s="307"/>
      <c r="F121" s="307" t="s">
        <v>183</v>
      </c>
      <c r="G121" s="307"/>
      <c r="H121" s="306" t="s">
        <v>183</v>
      </c>
      <c r="I121" s="307"/>
      <c r="J121" s="307" t="s">
        <v>183</v>
      </c>
      <c r="K121" s="308"/>
      <c r="L121" s="306" t="s">
        <v>183</v>
      </c>
      <c r="M121" s="307"/>
      <c r="N121" s="307" t="s">
        <v>183</v>
      </c>
      <c r="O121" s="308"/>
      <c r="P121" s="306" t="s">
        <v>199</v>
      </c>
      <c r="Q121" s="307"/>
      <c r="R121" s="307" t="s">
        <v>199</v>
      </c>
      <c r="S121" s="308"/>
      <c r="T121" s="81"/>
      <c r="U121" s="7"/>
      <c r="V121" s="7"/>
      <c r="W121" s="7"/>
      <c r="X121" s="7"/>
      <c r="Y121" s="7"/>
      <c r="Z121" s="176">
        <v>6</v>
      </c>
      <c r="AA121" s="176">
        <v>2</v>
      </c>
      <c r="AB121" s="176">
        <f t="shared" si="4"/>
        <v>6</v>
      </c>
      <c r="AC121" s="7"/>
      <c r="AD121" s="7"/>
      <c r="AE121" s="7"/>
      <c r="AF121" s="7"/>
      <c r="AG121" s="7"/>
      <c r="AH121" s="7"/>
      <c r="AI121" s="7"/>
      <c r="AJ121" s="7"/>
    </row>
    <row r="122" spans="2:36" ht="19.899999999999999" customHeight="1" thickBot="1" x14ac:dyDescent="0.35">
      <c r="B122" s="85"/>
      <c r="C122" s="115"/>
      <c r="D122" s="312"/>
      <c r="E122" s="313"/>
      <c r="F122" s="313"/>
      <c r="G122" s="313"/>
      <c r="H122" s="312"/>
      <c r="I122" s="313"/>
      <c r="J122" s="313"/>
      <c r="K122" s="317"/>
      <c r="L122" s="312"/>
      <c r="M122" s="313"/>
      <c r="N122" s="313"/>
      <c r="O122" s="317"/>
      <c r="P122" s="312"/>
      <c r="Q122" s="313"/>
      <c r="R122" s="313"/>
      <c r="S122" s="317"/>
      <c r="T122" s="81"/>
      <c r="U122" s="7"/>
      <c r="V122" s="7"/>
      <c r="W122" s="7"/>
      <c r="X122" s="7"/>
      <c r="Y122" s="7"/>
      <c r="Z122" s="176">
        <f>SUM(Z98:Z121)</f>
        <v>102</v>
      </c>
      <c r="AA122" s="176">
        <f t="shared" ref="AA122:AB122" si="5">SUM(AA98:AA121)</f>
        <v>28</v>
      </c>
      <c r="AB122" s="176">
        <f t="shared" si="5"/>
        <v>164</v>
      </c>
      <c r="AC122" s="338">
        <f>Z122/AB122*1</f>
        <v>0.62195121951219512</v>
      </c>
      <c r="AD122" s="339"/>
      <c r="AE122" s="7"/>
      <c r="AF122" s="7"/>
      <c r="AG122" s="7"/>
      <c r="AH122" s="7"/>
      <c r="AI122" s="7"/>
      <c r="AJ122" s="7"/>
    </row>
    <row r="123" spans="2:36" ht="19.899999999999999" customHeight="1" thickBot="1" x14ac:dyDescent="0.35">
      <c r="B123" s="74"/>
      <c r="C123" s="74"/>
    </row>
    <row r="124" spans="2:36" ht="18.95" customHeight="1" x14ac:dyDescent="0.3">
      <c r="B124" s="211">
        <v>46174</v>
      </c>
      <c r="C124" s="77"/>
      <c r="D124" s="213" t="s">
        <v>5</v>
      </c>
      <c r="E124" s="214"/>
      <c r="F124" s="214"/>
      <c r="G124" s="214"/>
      <c r="H124" s="213" t="s">
        <v>6</v>
      </c>
      <c r="I124" s="214"/>
      <c r="J124" s="214"/>
      <c r="K124" s="215"/>
      <c r="L124" s="213" t="s">
        <v>7</v>
      </c>
      <c r="M124" s="214"/>
      <c r="N124" s="214"/>
      <c r="O124" s="215"/>
      <c r="P124" s="213" t="s">
        <v>8</v>
      </c>
      <c r="Q124" s="214"/>
      <c r="R124" s="214"/>
      <c r="S124" s="215"/>
      <c r="Z124" s="3" t="s">
        <v>200</v>
      </c>
    </row>
    <row r="125" spans="2:36" ht="18.95" hidden="1" customHeight="1" x14ac:dyDescent="0.3">
      <c r="B125" s="212"/>
      <c r="C125" s="78"/>
      <c r="D125" s="332" t="s">
        <v>52</v>
      </c>
      <c r="E125" s="319"/>
      <c r="F125" s="319"/>
      <c r="G125" s="319"/>
      <c r="H125" s="332" t="s">
        <v>53</v>
      </c>
      <c r="I125" s="319"/>
      <c r="J125" s="319"/>
      <c r="K125" s="319"/>
      <c r="L125" s="332" t="s">
        <v>54</v>
      </c>
      <c r="M125" s="319"/>
      <c r="N125" s="319"/>
      <c r="O125" s="319"/>
      <c r="P125" s="332" t="s">
        <v>55</v>
      </c>
      <c r="Q125" s="319"/>
      <c r="R125" s="319"/>
      <c r="S125" s="319"/>
      <c r="Z125" s="161" t="s">
        <v>196</v>
      </c>
      <c r="AA125" s="161" t="s">
        <v>197</v>
      </c>
      <c r="AB125" s="161" t="s">
        <v>198</v>
      </c>
      <c r="AC125" s="366" t="s">
        <v>247</v>
      </c>
      <c r="AD125" s="367"/>
      <c r="AE125" s="367"/>
      <c r="AF125" s="367"/>
      <c r="AG125" s="367"/>
      <c r="AH125" s="367"/>
    </row>
    <row r="126" spans="2:36" ht="18.95" hidden="1" customHeight="1" x14ac:dyDescent="0.3">
      <c r="B126" s="85" t="s">
        <v>205</v>
      </c>
      <c r="C126" s="115" t="s">
        <v>24</v>
      </c>
      <c r="D126" s="306">
        <v>1</v>
      </c>
      <c r="E126" s="307"/>
      <c r="F126" s="307">
        <v>1</v>
      </c>
      <c r="G126" s="307"/>
      <c r="H126" s="306">
        <v>0</v>
      </c>
      <c r="I126" s="307"/>
      <c r="J126" s="307">
        <v>0</v>
      </c>
      <c r="K126" s="308"/>
      <c r="L126" s="306">
        <v>1</v>
      </c>
      <c r="M126" s="307"/>
      <c r="N126" s="307">
        <v>1</v>
      </c>
      <c r="O126" s="308"/>
      <c r="P126" s="306">
        <v>2</v>
      </c>
      <c r="Q126" s="307"/>
      <c r="R126" s="307">
        <v>1</v>
      </c>
      <c r="S126" s="308"/>
      <c r="Z126" s="143">
        <f>SUM(D126:S126)-AA126</f>
        <v>7</v>
      </c>
      <c r="AA126" s="176"/>
      <c r="AB126" s="176">
        <f>8-AA126</f>
        <v>8</v>
      </c>
    </row>
    <row r="127" spans="2:36" ht="18.95" hidden="1" customHeight="1" x14ac:dyDescent="0.3">
      <c r="B127" s="85" t="s">
        <v>241</v>
      </c>
      <c r="C127" s="104" t="s">
        <v>237</v>
      </c>
      <c r="D127" s="306" t="s">
        <v>183</v>
      </c>
      <c r="E127" s="307"/>
      <c r="F127" s="307" t="s">
        <v>183</v>
      </c>
      <c r="G127" s="307"/>
      <c r="H127" s="306" t="s">
        <v>183</v>
      </c>
      <c r="I127" s="307"/>
      <c r="J127" s="307" t="s">
        <v>183</v>
      </c>
      <c r="K127" s="308"/>
      <c r="L127" s="306" t="s">
        <v>183</v>
      </c>
      <c r="M127" s="307"/>
      <c r="N127" s="307" t="s">
        <v>183</v>
      </c>
      <c r="O127" s="308"/>
      <c r="P127" s="306" t="s">
        <v>183</v>
      </c>
      <c r="Q127" s="307"/>
      <c r="R127" s="307" t="s">
        <v>183</v>
      </c>
      <c r="S127" s="308"/>
      <c r="Z127" s="143">
        <f t="shared" ref="Z127" si="6">COUNTA(D127:S127)-AA127</f>
        <v>8</v>
      </c>
      <c r="AA127" s="178"/>
      <c r="AB127" s="178">
        <f t="shared" ref="AB127:AB150" si="7">8-AA127</f>
        <v>8</v>
      </c>
    </row>
    <row r="128" spans="2:36" ht="18.95" hidden="1" customHeight="1" x14ac:dyDescent="0.3">
      <c r="B128" s="84" t="s">
        <v>208</v>
      </c>
      <c r="C128" s="102" t="s">
        <v>22</v>
      </c>
      <c r="D128" s="361" t="s">
        <v>183</v>
      </c>
      <c r="E128" s="362"/>
      <c r="F128" s="307" t="s">
        <v>183</v>
      </c>
      <c r="G128" s="307"/>
      <c r="H128" s="306" t="s">
        <v>183</v>
      </c>
      <c r="I128" s="307"/>
      <c r="J128" s="307" t="s">
        <v>213</v>
      </c>
      <c r="K128" s="308"/>
      <c r="L128" s="306" t="s">
        <v>183</v>
      </c>
      <c r="M128" s="307"/>
      <c r="N128" s="307" t="s">
        <v>183</v>
      </c>
      <c r="O128" s="308"/>
      <c r="P128" s="306" t="s">
        <v>183</v>
      </c>
      <c r="Q128" s="307"/>
      <c r="R128" s="307" t="s">
        <v>183</v>
      </c>
      <c r="S128" s="308"/>
      <c r="Z128" s="143">
        <f>COUNTA(D128:S128)-AA128</f>
        <v>8</v>
      </c>
      <c r="AA128" s="176"/>
      <c r="AB128" s="176">
        <f t="shared" si="7"/>
        <v>8</v>
      </c>
    </row>
    <row r="129" spans="2:36" ht="18.95" hidden="1" customHeight="1" x14ac:dyDescent="0.3">
      <c r="B129" s="84" t="s">
        <v>209</v>
      </c>
      <c r="C129" s="102" t="s">
        <v>22</v>
      </c>
      <c r="D129" s="306"/>
      <c r="E129" s="307"/>
      <c r="F129" s="307"/>
      <c r="G129" s="307"/>
      <c r="H129" s="306"/>
      <c r="I129" s="307"/>
      <c r="J129" s="307"/>
      <c r="K129" s="308"/>
      <c r="L129" s="306"/>
      <c r="M129" s="307"/>
      <c r="N129" s="307"/>
      <c r="O129" s="308"/>
      <c r="P129" s="306"/>
      <c r="Q129" s="307"/>
      <c r="R129" s="307"/>
      <c r="S129" s="308"/>
      <c r="Z129" s="143">
        <f t="shared" ref="Z129:Z149" si="8">COUNTA(D129:S129)-AA129</f>
        <v>0</v>
      </c>
      <c r="AA129" s="176"/>
      <c r="AB129" s="176">
        <f t="shared" si="7"/>
        <v>8</v>
      </c>
    </row>
    <row r="130" spans="2:36" ht="18.95" customHeight="1" x14ac:dyDescent="0.3">
      <c r="B130" s="84" t="s">
        <v>248</v>
      </c>
      <c r="C130" s="102" t="s">
        <v>26</v>
      </c>
      <c r="D130" s="306" t="s">
        <v>242</v>
      </c>
      <c r="E130" s="307"/>
      <c r="F130" s="307" t="s">
        <v>242</v>
      </c>
      <c r="G130" s="307"/>
      <c r="H130" s="306"/>
      <c r="I130" s="307"/>
      <c r="J130" s="307"/>
      <c r="K130" s="308"/>
      <c r="L130" s="306"/>
      <c r="M130" s="307"/>
      <c r="N130" s="307"/>
      <c r="O130" s="308"/>
      <c r="P130" s="306"/>
      <c r="Q130" s="307"/>
      <c r="R130" s="307"/>
      <c r="S130" s="308"/>
      <c r="Z130" s="143">
        <f t="shared" si="8"/>
        <v>0</v>
      </c>
      <c r="AA130" s="176">
        <v>2</v>
      </c>
      <c r="AB130" s="176">
        <f t="shared" si="7"/>
        <v>6</v>
      </c>
    </row>
    <row r="131" spans="2:36" ht="18.95" hidden="1" customHeight="1" x14ac:dyDescent="0.3">
      <c r="B131" s="84" t="s">
        <v>210</v>
      </c>
      <c r="C131" s="104" t="s">
        <v>237</v>
      </c>
      <c r="D131" s="306"/>
      <c r="E131" s="307"/>
      <c r="F131" s="307"/>
      <c r="G131" s="307"/>
      <c r="H131" s="306" t="s">
        <v>183</v>
      </c>
      <c r="I131" s="307"/>
      <c r="J131" s="307" t="s">
        <v>183</v>
      </c>
      <c r="K131" s="308"/>
      <c r="L131" s="306" t="s">
        <v>183</v>
      </c>
      <c r="M131" s="307"/>
      <c r="N131" s="307" t="s">
        <v>183</v>
      </c>
      <c r="O131" s="308"/>
      <c r="P131" s="306" t="s">
        <v>183</v>
      </c>
      <c r="Q131" s="307"/>
      <c r="R131" s="307" t="s">
        <v>183</v>
      </c>
      <c r="S131" s="308"/>
      <c r="Z131" s="143">
        <f t="shared" si="8"/>
        <v>6</v>
      </c>
      <c r="AA131" s="178"/>
      <c r="AB131" s="178">
        <f t="shared" si="7"/>
        <v>8</v>
      </c>
    </row>
    <row r="132" spans="2:36" ht="18.95" hidden="1" customHeight="1" x14ac:dyDescent="0.3">
      <c r="B132" s="84" t="s">
        <v>243</v>
      </c>
      <c r="C132" s="104" t="s">
        <v>237</v>
      </c>
      <c r="D132" s="327" t="s">
        <v>183</v>
      </c>
      <c r="E132" s="329"/>
      <c r="F132" s="359" t="s">
        <v>183</v>
      </c>
      <c r="G132" s="329"/>
      <c r="H132" s="327" t="s">
        <v>183</v>
      </c>
      <c r="I132" s="329"/>
      <c r="J132" s="359" t="s">
        <v>183</v>
      </c>
      <c r="K132" s="329"/>
      <c r="L132" s="327" t="s">
        <v>183</v>
      </c>
      <c r="M132" s="329"/>
      <c r="N132" s="359" t="s">
        <v>183</v>
      </c>
      <c r="O132" s="329"/>
      <c r="P132" s="327" t="s">
        <v>183</v>
      </c>
      <c r="Q132" s="329"/>
      <c r="R132" s="359" t="s">
        <v>183</v>
      </c>
      <c r="S132" s="333"/>
      <c r="Z132" s="143">
        <f t="shared" si="8"/>
        <v>8</v>
      </c>
      <c r="AA132" s="178"/>
      <c r="AB132" s="178">
        <f t="shared" si="7"/>
        <v>8</v>
      </c>
    </row>
    <row r="133" spans="2:36" ht="18.95" hidden="1" customHeight="1" x14ac:dyDescent="0.3">
      <c r="B133" s="84" t="s">
        <v>212</v>
      </c>
      <c r="C133" s="104" t="s">
        <v>237</v>
      </c>
      <c r="D133" s="361" t="s">
        <v>183</v>
      </c>
      <c r="E133" s="362"/>
      <c r="F133" s="362" t="s">
        <v>183</v>
      </c>
      <c r="G133" s="362"/>
      <c r="H133" s="306" t="s">
        <v>183</v>
      </c>
      <c r="I133" s="307"/>
      <c r="J133" s="307" t="s">
        <v>183</v>
      </c>
      <c r="K133" s="308"/>
      <c r="L133" s="306"/>
      <c r="M133" s="307"/>
      <c r="N133" s="307"/>
      <c r="O133" s="308"/>
      <c r="P133" s="306">
        <v>1</v>
      </c>
      <c r="Q133" s="307"/>
      <c r="R133" s="307">
        <v>1</v>
      </c>
      <c r="S133" s="308"/>
      <c r="Z133" s="143">
        <f t="shared" si="8"/>
        <v>6</v>
      </c>
      <c r="AA133" s="178"/>
      <c r="AB133" s="178">
        <f t="shared" si="7"/>
        <v>8</v>
      </c>
    </row>
    <row r="134" spans="2:36" ht="18.95" hidden="1" customHeight="1" x14ac:dyDescent="0.3">
      <c r="B134" s="84" t="s">
        <v>238</v>
      </c>
      <c r="C134" s="102" t="s">
        <v>22</v>
      </c>
      <c r="D134" s="327"/>
      <c r="E134" s="329"/>
      <c r="F134" s="359"/>
      <c r="G134" s="329"/>
      <c r="H134" s="327"/>
      <c r="I134" s="329"/>
      <c r="J134" s="359"/>
      <c r="K134" s="333"/>
      <c r="L134" s="327"/>
      <c r="M134" s="329"/>
      <c r="N134" s="359"/>
      <c r="O134" s="333"/>
      <c r="P134" s="327">
        <v>1</v>
      </c>
      <c r="Q134" s="329"/>
      <c r="R134" s="359">
        <v>1</v>
      </c>
      <c r="S134" s="333"/>
      <c r="Z134" s="143">
        <f t="shared" si="8"/>
        <v>2</v>
      </c>
      <c r="AA134" s="176"/>
      <c r="AB134" s="176">
        <f t="shared" si="7"/>
        <v>8</v>
      </c>
    </row>
    <row r="135" spans="2:36" ht="18.95" hidden="1" customHeight="1" x14ac:dyDescent="0.3">
      <c r="B135" s="84" t="s">
        <v>214</v>
      </c>
      <c r="C135" s="104" t="s">
        <v>237</v>
      </c>
      <c r="D135" s="306"/>
      <c r="E135" s="307"/>
      <c r="F135" s="307"/>
      <c r="G135" s="307"/>
      <c r="H135" s="306"/>
      <c r="I135" s="307"/>
      <c r="J135" s="307"/>
      <c r="K135" s="308"/>
      <c r="L135" s="306" t="s">
        <v>235</v>
      </c>
      <c r="M135" s="307"/>
      <c r="N135" s="307" t="s">
        <v>235</v>
      </c>
      <c r="O135" s="308"/>
      <c r="P135" s="306"/>
      <c r="Q135" s="307"/>
      <c r="R135" s="307"/>
      <c r="S135" s="308"/>
      <c r="Z135" s="143">
        <f t="shared" si="8"/>
        <v>0</v>
      </c>
      <c r="AA135" s="178">
        <v>2</v>
      </c>
      <c r="AB135" s="178">
        <f t="shared" si="7"/>
        <v>6</v>
      </c>
    </row>
    <row r="136" spans="2:36" ht="18.95" hidden="1" customHeight="1" x14ac:dyDescent="0.3">
      <c r="B136" s="84" t="s">
        <v>216</v>
      </c>
      <c r="C136" s="102" t="s">
        <v>22</v>
      </c>
      <c r="D136" s="306" t="s">
        <v>183</v>
      </c>
      <c r="E136" s="307"/>
      <c r="F136" s="307" t="s">
        <v>183</v>
      </c>
      <c r="G136" s="307"/>
      <c r="H136" s="306" t="s">
        <v>183</v>
      </c>
      <c r="I136" s="307"/>
      <c r="J136" s="307" t="s">
        <v>183</v>
      </c>
      <c r="K136" s="308"/>
      <c r="L136" s="306" t="s">
        <v>183</v>
      </c>
      <c r="M136" s="307"/>
      <c r="N136" s="307" t="s">
        <v>183</v>
      </c>
      <c r="O136" s="308"/>
      <c r="P136" s="306" t="s">
        <v>183</v>
      </c>
      <c r="Q136" s="307"/>
      <c r="R136" s="307" t="s">
        <v>183</v>
      </c>
      <c r="S136" s="308"/>
      <c r="Z136" s="143">
        <f t="shared" si="8"/>
        <v>8</v>
      </c>
      <c r="AA136" s="176"/>
      <c r="AB136" s="176">
        <f t="shared" si="7"/>
        <v>8</v>
      </c>
    </row>
    <row r="137" spans="2:36" ht="18.95" hidden="1" customHeight="1" x14ac:dyDescent="0.3">
      <c r="B137" s="84" t="s">
        <v>217</v>
      </c>
      <c r="C137" s="104" t="s">
        <v>237</v>
      </c>
      <c r="D137" s="306" t="s">
        <v>183</v>
      </c>
      <c r="E137" s="307"/>
      <c r="F137" s="307" t="s">
        <v>183</v>
      </c>
      <c r="G137" s="307"/>
      <c r="H137" s="306" t="s">
        <v>213</v>
      </c>
      <c r="I137" s="307"/>
      <c r="J137" s="307" t="s">
        <v>183</v>
      </c>
      <c r="K137" s="308"/>
      <c r="L137" s="306" t="s">
        <v>183</v>
      </c>
      <c r="M137" s="307"/>
      <c r="N137" s="307" t="s">
        <v>183</v>
      </c>
      <c r="O137" s="308"/>
      <c r="P137" s="306" t="s">
        <v>183</v>
      </c>
      <c r="Q137" s="307"/>
      <c r="R137" s="307"/>
      <c r="S137" s="308"/>
      <c r="Z137" s="143">
        <f t="shared" si="8"/>
        <v>7</v>
      </c>
      <c r="AA137" s="176"/>
      <c r="AB137" s="176">
        <f t="shared" si="7"/>
        <v>8</v>
      </c>
    </row>
    <row r="138" spans="2:36" ht="18.95" customHeight="1" x14ac:dyDescent="0.3">
      <c r="B138" s="85" t="s">
        <v>219</v>
      </c>
      <c r="C138" s="115" t="s">
        <v>26</v>
      </c>
      <c r="D138" s="327" t="s">
        <v>183</v>
      </c>
      <c r="E138" s="329"/>
      <c r="F138" s="359" t="s">
        <v>183</v>
      </c>
      <c r="G138" s="329"/>
      <c r="H138" s="327" t="s">
        <v>183</v>
      </c>
      <c r="I138" s="329"/>
      <c r="J138" s="359" t="s">
        <v>183</v>
      </c>
      <c r="K138" s="333"/>
      <c r="L138" s="327" t="s">
        <v>183</v>
      </c>
      <c r="M138" s="329"/>
      <c r="N138" s="359" t="s">
        <v>183</v>
      </c>
      <c r="O138" s="333"/>
      <c r="P138" s="327" t="s">
        <v>183</v>
      </c>
      <c r="Q138" s="329"/>
      <c r="R138" s="359" t="s">
        <v>183</v>
      </c>
      <c r="S138" s="333"/>
      <c r="Z138" s="143">
        <f t="shared" si="8"/>
        <v>8</v>
      </c>
      <c r="AA138" s="176"/>
      <c r="AB138" s="176">
        <f t="shared" si="7"/>
        <v>8</v>
      </c>
    </row>
    <row r="139" spans="2:36" ht="18.95" hidden="1" customHeight="1" x14ac:dyDescent="0.3">
      <c r="B139" s="85" t="s">
        <v>245</v>
      </c>
      <c r="C139" s="104" t="s">
        <v>237</v>
      </c>
      <c r="D139" s="306" t="s">
        <v>183</v>
      </c>
      <c r="E139" s="307"/>
      <c r="F139" s="307"/>
      <c r="G139" s="307"/>
      <c r="H139" s="306" t="s">
        <v>183</v>
      </c>
      <c r="I139" s="307"/>
      <c r="J139" s="307" t="s">
        <v>183</v>
      </c>
      <c r="K139" s="308"/>
      <c r="L139" s="306" t="s">
        <v>183</v>
      </c>
      <c r="M139" s="307"/>
      <c r="N139" s="307" t="s">
        <v>183</v>
      </c>
      <c r="O139" s="308"/>
      <c r="P139" s="306" t="s">
        <v>183</v>
      </c>
      <c r="Q139" s="307"/>
      <c r="R139" s="307">
        <v>1</v>
      </c>
      <c r="S139" s="308"/>
      <c r="Z139" s="143">
        <f t="shared" si="8"/>
        <v>7</v>
      </c>
      <c r="AA139" s="178"/>
      <c r="AB139" s="178">
        <f t="shared" si="7"/>
        <v>8</v>
      </c>
    </row>
    <row r="140" spans="2:36" ht="18.95" hidden="1" customHeight="1" x14ac:dyDescent="0.3">
      <c r="B140" s="84" t="s">
        <v>220</v>
      </c>
      <c r="C140" s="102" t="s">
        <v>22</v>
      </c>
      <c r="D140" s="306" t="s">
        <v>183</v>
      </c>
      <c r="E140" s="307"/>
      <c r="F140" s="307" t="s">
        <v>183</v>
      </c>
      <c r="G140" s="307"/>
      <c r="H140" s="306" t="s">
        <v>183</v>
      </c>
      <c r="I140" s="307"/>
      <c r="J140" s="307" t="s">
        <v>183</v>
      </c>
      <c r="K140" s="308"/>
      <c r="L140" s="306"/>
      <c r="M140" s="307"/>
      <c r="N140" s="307"/>
      <c r="O140" s="308"/>
      <c r="P140" s="306"/>
      <c r="Q140" s="307"/>
      <c r="R140" s="307"/>
      <c r="S140" s="308"/>
      <c r="Z140" s="143">
        <f t="shared" si="8"/>
        <v>4</v>
      </c>
      <c r="AA140" s="176"/>
      <c r="AB140" s="176">
        <f t="shared" si="7"/>
        <v>8</v>
      </c>
      <c r="AD140" s="369" t="s">
        <v>249</v>
      </c>
      <c r="AE140" s="369"/>
      <c r="AF140" s="369"/>
      <c r="AG140" s="369"/>
      <c r="AH140" s="369"/>
      <c r="AI140" s="369"/>
      <c r="AJ140" s="369"/>
    </row>
    <row r="141" spans="2:36" ht="18.95" hidden="1" customHeight="1" x14ac:dyDescent="0.3">
      <c r="B141" s="84" t="s">
        <v>221</v>
      </c>
      <c r="C141" s="104" t="s">
        <v>237</v>
      </c>
      <c r="D141" s="306" t="s">
        <v>183</v>
      </c>
      <c r="E141" s="307"/>
      <c r="F141" s="307" t="s">
        <v>183</v>
      </c>
      <c r="G141" s="307"/>
      <c r="H141" s="306" t="s">
        <v>183</v>
      </c>
      <c r="I141" s="307"/>
      <c r="J141" s="307" t="s">
        <v>183</v>
      </c>
      <c r="K141" s="308"/>
      <c r="L141" s="306" t="s">
        <v>183</v>
      </c>
      <c r="M141" s="307"/>
      <c r="N141" s="307" t="s">
        <v>183</v>
      </c>
      <c r="O141" s="308"/>
      <c r="P141" s="306"/>
      <c r="Q141" s="307"/>
      <c r="R141" s="307"/>
      <c r="S141" s="308"/>
      <c r="Z141" s="143">
        <f t="shared" si="8"/>
        <v>6</v>
      </c>
      <c r="AA141" s="178"/>
      <c r="AB141" s="178">
        <f t="shared" si="7"/>
        <v>8</v>
      </c>
      <c r="AD141" s="369"/>
      <c r="AE141" s="369"/>
      <c r="AF141" s="369"/>
      <c r="AG141" s="369"/>
      <c r="AH141" s="369"/>
      <c r="AI141" s="369"/>
      <c r="AJ141" s="369"/>
    </row>
    <row r="142" spans="2:36" ht="18.95" hidden="1" customHeight="1" x14ac:dyDescent="0.3">
      <c r="B142" s="84" t="s">
        <v>223</v>
      </c>
      <c r="C142" s="102" t="s">
        <v>22</v>
      </c>
      <c r="D142" s="306" t="s">
        <v>183</v>
      </c>
      <c r="E142" s="307"/>
      <c r="F142" s="307" t="s">
        <v>183</v>
      </c>
      <c r="G142" s="307"/>
      <c r="H142" s="306" t="s">
        <v>183</v>
      </c>
      <c r="I142" s="307"/>
      <c r="J142" s="307"/>
      <c r="K142" s="308"/>
      <c r="L142" s="306"/>
      <c r="M142" s="307"/>
      <c r="N142" s="307" t="s">
        <v>183</v>
      </c>
      <c r="O142" s="308"/>
      <c r="P142" s="306" t="s">
        <v>183</v>
      </c>
      <c r="Q142" s="307"/>
      <c r="R142" s="307" t="s">
        <v>183</v>
      </c>
      <c r="S142" s="308"/>
      <c r="Z142" s="143">
        <f t="shared" si="8"/>
        <v>6</v>
      </c>
      <c r="AA142" s="176"/>
      <c r="AB142" s="176">
        <f t="shared" si="7"/>
        <v>8</v>
      </c>
    </row>
    <row r="143" spans="2:36" ht="18.95" hidden="1" customHeight="1" x14ac:dyDescent="0.3">
      <c r="B143" s="84" t="s">
        <v>224</v>
      </c>
      <c r="C143" s="102" t="s">
        <v>28</v>
      </c>
      <c r="D143" s="361" t="s">
        <v>183</v>
      </c>
      <c r="E143" s="362"/>
      <c r="F143" s="362" t="s">
        <v>183</v>
      </c>
      <c r="G143" s="362"/>
      <c r="H143" s="306" t="s">
        <v>183</v>
      </c>
      <c r="I143" s="307"/>
      <c r="J143" s="307" t="s">
        <v>183</v>
      </c>
      <c r="K143" s="308"/>
      <c r="L143" s="306" t="s">
        <v>183</v>
      </c>
      <c r="M143" s="307"/>
      <c r="N143" s="307" t="s">
        <v>183</v>
      </c>
      <c r="O143" s="308"/>
      <c r="P143" s="306" t="s">
        <v>183</v>
      </c>
      <c r="Q143" s="307"/>
      <c r="R143" s="307" t="s">
        <v>183</v>
      </c>
      <c r="S143" s="308"/>
      <c r="Z143" s="143">
        <f t="shared" si="8"/>
        <v>8</v>
      </c>
      <c r="AA143" s="176"/>
      <c r="AB143" s="176">
        <f t="shared" si="7"/>
        <v>8</v>
      </c>
    </row>
    <row r="144" spans="2:36" ht="18.95" hidden="1" customHeight="1" x14ac:dyDescent="0.3">
      <c r="B144" s="84" t="s">
        <v>234</v>
      </c>
      <c r="C144" s="102" t="s">
        <v>22</v>
      </c>
      <c r="D144" s="306"/>
      <c r="E144" s="307"/>
      <c r="F144" s="307"/>
      <c r="G144" s="307"/>
      <c r="H144" s="306"/>
      <c r="I144" s="307"/>
      <c r="J144" s="307"/>
      <c r="K144" s="308"/>
      <c r="L144" s="306" t="s">
        <v>183</v>
      </c>
      <c r="M144" s="307"/>
      <c r="N144" s="307" t="s">
        <v>183</v>
      </c>
      <c r="O144" s="308"/>
      <c r="P144" s="306" t="s">
        <v>183</v>
      </c>
      <c r="Q144" s="307"/>
      <c r="R144" s="307" t="s">
        <v>183</v>
      </c>
      <c r="S144" s="308"/>
      <c r="Z144" s="143">
        <f t="shared" si="8"/>
        <v>4</v>
      </c>
      <c r="AA144" s="131"/>
      <c r="AB144" s="176">
        <f t="shared" si="7"/>
        <v>8</v>
      </c>
    </row>
    <row r="145" spans="2:34" ht="18.95" hidden="1" customHeight="1" x14ac:dyDescent="0.3">
      <c r="B145" s="84" t="s">
        <v>226</v>
      </c>
      <c r="C145" s="102" t="s">
        <v>28</v>
      </c>
      <c r="D145" s="306" t="s">
        <v>199</v>
      </c>
      <c r="E145" s="307"/>
      <c r="F145" s="307" t="s">
        <v>199</v>
      </c>
      <c r="G145" s="307"/>
      <c r="H145" s="306" t="s">
        <v>199</v>
      </c>
      <c r="I145" s="307"/>
      <c r="J145" s="307" t="s">
        <v>199</v>
      </c>
      <c r="K145" s="308"/>
      <c r="L145" s="306" t="s">
        <v>199</v>
      </c>
      <c r="M145" s="307"/>
      <c r="N145" s="307" t="s">
        <v>199</v>
      </c>
      <c r="O145" s="308"/>
      <c r="P145" s="306" t="s">
        <v>199</v>
      </c>
      <c r="Q145" s="307"/>
      <c r="R145" s="307" t="s">
        <v>199</v>
      </c>
      <c r="S145" s="308"/>
      <c r="Z145" s="143">
        <f t="shared" si="8"/>
        <v>0</v>
      </c>
      <c r="AA145" s="176">
        <v>8</v>
      </c>
      <c r="AB145" s="176">
        <f t="shared" si="7"/>
        <v>0</v>
      </c>
    </row>
    <row r="146" spans="2:34" ht="18.95" hidden="1" customHeight="1" x14ac:dyDescent="0.3">
      <c r="B146" s="85" t="s">
        <v>227</v>
      </c>
      <c r="C146" s="115" t="s">
        <v>24</v>
      </c>
      <c r="D146" s="306">
        <v>1</v>
      </c>
      <c r="E146" s="307"/>
      <c r="F146" s="307">
        <v>1</v>
      </c>
      <c r="G146" s="307"/>
      <c r="H146" s="306">
        <v>1</v>
      </c>
      <c r="I146" s="307"/>
      <c r="J146" s="307">
        <v>1</v>
      </c>
      <c r="K146" s="308"/>
      <c r="L146" s="306">
        <v>1</v>
      </c>
      <c r="M146" s="307"/>
      <c r="N146" s="307">
        <v>1</v>
      </c>
      <c r="O146" s="308"/>
      <c r="P146" s="306">
        <v>3</v>
      </c>
      <c r="Q146" s="307"/>
      <c r="R146" s="307">
        <v>4</v>
      </c>
      <c r="S146" s="308"/>
      <c r="T146" s="370"/>
      <c r="U146" s="303"/>
      <c r="V146" s="303"/>
      <c r="W146" s="303"/>
      <c r="X146" s="303"/>
      <c r="Z146" s="143">
        <f>SUM(D146:S146)-AA146</f>
        <v>13</v>
      </c>
      <c r="AA146" s="176"/>
      <c r="AB146" s="176">
        <f t="shared" si="7"/>
        <v>8</v>
      </c>
    </row>
    <row r="147" spans="2:34" ht="18.95" hidden="1" customHeight="1" x14ac:dyDescent="0.3">
      <c r="B147" s="84" t="s">
        <v>228</v>
      </c>
      <c r="C147" s="102" t="s">
        <v>28</v>
      </c>
      <c r="D147" s="306" t="s">
        <v>183</v>
      </c>
      <c r="E147" s="307"/>
      <c r="F147" s="307" t="s">
        <v>183</v>
      </c>
      <c r="G147" s="307"/>
      <c r="H147" s="306"/>
      <c r="I147" s="307"/>
      <c r="J147" s="307"/>
      <c r="K147" s="308"/>
      <c r="L147" s="306"/>
      <c r="M147" s="307"/>
      <c r="N147" s="307"/>
      <c r="O147" s="308"/>
      <c r="P147" s="306" t="s">
        <v>183</v>
      </c>
      <c r="Q147" s="307"/>
      <c r="R147" s="307" t="s">
        <v>183</v>
      </c>
      <c r="S147" s="308"/>
      <c r="Z147" s="143">
        <f t="shared" si="8"/>
        <v>4</v>
      </c>
      <c r="AA147" s="176"/>
      <c r="AB147" s="176">
        <f t="shared" si="7"/>
        <v>8</v>
      </c>
    </row>
    <row r="148" spans="2:34" ht="18.95" hidden="1" customHeight="1" x14ac:dyDescent="0.3">
      <c r="B148" s="84" t="s">
        <v>231</v>
      </c>
      <c r="C148" s="102" t="s">
        <v>22</v>
      </c>
      <c r="D148" s="306" t="s">
        <v>183</v>
      </c>
      <c r="E148" s="307"/>
      <c r="F148" s="307" t="s">
        <v>183</v>
      </c>
      <c r="G148" s="307"/>
      <c r="H148" s="306" t="s">
        <v>183</v>
      </c>
      <c r="I148" s="307"/>
      <c r="J148" s="307" t="s">
        <v>183</v>
      </c>
      <c r="K148" s="308"/>
      <c r="L148" s="306" t="s">
        <v>183</v>
      </c>
      <c r="M148" s="307"/>
      <c r="N148" s="307" t="s">
        <v>183</v>
      </c>
      <c r="O148" s="308"/>
      <c r="P148" s="306" t="s">
        <v>183</v>
      </c>
      <c r="Q148" s="307"/>
      <c r="R148" s="307" t="s">
        <v>183</v>
      </c>
      <c r="S148" s="308"/>
      <c r="Z148" s="143">
        <f t="shared" si="8"/>
        <v>8</v>
      </c>
      <c r="AA148" s="176"/>
      <c r="AB148" s="176">
        <f t="shared" si="7"/>
        <v>8</v>
      </c>
    </row>
    <row r="149" spans="2:34" ht="18.95" hidden="1" customHeight="1" x14ac:dyDescent="0.3">
      <c r="B149" s="85" t="s">
        <v>232</v>
      </c>
      <c r="C149" s="102" t="s">
        <v>28</v>
      </c>
      <c r="D149" s="306"/>
      <c r="E149" s="307"/>
      <c r="F149" s="307"/>
      <c r="G149" s="307"/>
      <c r="H149" s="306"/>
      <c r="I149" s="307"/>
      <c r="J149" s="307"/>
      <c r="K149" s="308"/>
      <c r="L149" s="306"/>
      <c r="M149" s="307"/>
      <c r="N149" s="307"/>
      <c r="O149" s="308"/>
      <c r="P149" s="306"/>
      <c r="Q149" s="307"/>
      <c r="R149" s="307"/>
      <c r="S149" s="308"/>
      <c r="Z149" s="143">
        <f t="shared" si="8"/>
        <v>0</v>
      </c>
      <c r="AA149" s="176"/>
      <c r="AB149" s="176">
        <f t="shared" si="7"/>
        <v>8</v>
      </c>
    </row>
    <row r="150" spans="2:34" ht="18.95" hidden="1" customHeight="1" thickBot="1" x14ac:dyDescent="0.35">
      <c r="B150" s="85"/>
      <c r="C150" s="115"/>
      <c r="D150" s="312"/>
      <c r="E150" s="313"/>
      <c r="F150" s="313"/>
      <c r="G150" s="313"/>
      <c r="H150" s="312"/>
      <c r="I150" s="313"/>
      <c r="J150" s="313"/>
      <c r="K150" s="317"/>
      <c r="L150" s="312"/>
      <c r="M150" s="313"/>
      <c r="N150" s="313"/>
      <c r="O150" s="317"/>
      <c r="P150" s="312"/>
      <c r="Q150" s="313"/>
      <c r="R150" s="313">
        <v>4</v>
      </c>
      <c r="S150" s="317"/>
      <c r="Z150" s="143">
        <f>SUM(D150:S150)-AA150</f>
        <v>4</v>
      </c>
      <c r="AA150" s="176"/>
      <c r="AB150" s="176">
        <f t="shared" si="7"/>
        <v>8</v>
      </c>
    </row>
    <row r="151" spans="2:34" ht="18.95" customHeight="1" x14ac:dyDescent="0.3">
      <c r="B151" s="125"/>
      <c r="C151" s="151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Z151" s="143">
        <f>SUM(Z127:Z150)</f>
        <v>125</v>
      </c>
      <c r="AA151" s="176"/>
      <c r="AB151" s="176">
        <f>SUM(AB127:AB150)</f>
        <v>180</v>
      </c>
      <c r="AF151" s="368">
        <f>Z151/AB151</f>
        <v>0.69444444444444442</v>
      </c>
      <c r="AG151" s="368"/>
      <c r="AH151" s="368"/>
    </row>
    <row r="153" spans="2:34" ht="18.95" customHeight="1" thickBot="1" x14ac:dyDescent="0.35">
      <c r="D153" s="188" t="s">
        <v>250</v>
      </c>
    </row>
    <row r="154" spans="2:34" ht="18.95" customHeight="1" x14ac:dyDescent="0.3">
      <c r="B154" s="211">
        <v>46204</v>
      </c>
      <c r="C154" s="77"/>
      <c r="D154" s="213" t="s">
        <v>5</v>
      </c>
      <c r="E154" s="214"/>
      <c r="F154" s="214"/>
      <c r="G154" s="214"/>
      <c r="H154" s="213" t="s">
        <v>6</v>
      </c>
      <c r="I154" s="214"/>
      <c r="J154" s="214"/>
      <c r="K154" s="215"/>
      <c r="L154" s="213" t="s">
        <v>7</v>
      </c>
      <c r="M154" s="214"/>
      <c r="N154" s="214"/>
      <c r="O154" s="215"/>
      <c r="P154" s="213" t="s">
        <v>8</v>
      </c>
      <c r="Q154" s="214"/>
      <c r="R154" s="214"/>
      <c r="S154" s="215"/>
      <c r="T154" s="213" t="s">
        <v>39</v>
      </c>
      <c r="U154" s="214"/>
      <c r="V154" s="214"/>
      <c r="W154" s="215"/>
      <c r="Z154" s="3" t="s">
        <v>200</v>
      </c>
    </row>
    <row r="155" spans="2:34" ht="18.95" customHeight="1" x14ac:dyDescent="0.3">
      <c r="B155" s="212"/>
      <c r="C155" s="78"/>
      <c r="D155" s="332" t="s">
        <v>67</v>
      </c>
      <c r="E155" s="319"/>
      <c r="F155" s="319"/>
      <c r="G155" s="319"/>
      <c r="H155" s="332" t="s">
        <v>68</v>
      </c>
      <c r="I155" s="319"/>
      <c r="J155" s="319"/>
      <c r="K155" s="319"/>
      <c r="L155" s="332" t="s">
        <v>69</v>
      </c>
      <c r="M155" s="319"/>
      <c r="N155" s="319"/>
      <c r="O155" s="319"/>
      <c r="P155" s="332" t="s">
        <v>70</v>
      </c>
      <c r="Q155" s="319"/>
      <c r="R155" s="319"/>
      <c r="S155" s="319"/>
      <c r="T155" s="332" t="s">
        <v>71</v>
      </c>
      <c r="U155" s="319"/>
      <c r="V155" s="319"/>
      <c r="W155" s="319"/>
      <c r="Z155" s="161" t="s">
        <v>196</v>
      </c>
      <c r="AA155" s="161" t="s">
        <v>197</v>
      </c>
      <c r="AB155" s="161" t="s">
        <v>198</v>
      </c>
    </row>
    <row r="156" spans="2:34" ht="18.95" customHeight="1" x14ac:dyDescent="0.3">
      <c r="B156" s="85" t="s">
        <v>205</v>
      </c>
      <c r="C156" s="115" t="s">
        <v>24</v>
      </c>
      <c r="D156" s="306">
        <v>2</v>
      </c>
      <c r="E156" s="307"/>
      <c r="F156" s="307">
        <v>1</v>
      </c>
      <c r="G156" s="307"/>
      <c r="H156" s="306">
        <v>1</v>
      </c>
      <c r="I156" s="307"/>
      <c r="J156" s="307"/>
      <c r="K156" s="308"/>
      <c r="L156" s="306">
        <v>1</v>
      </c>
      <c r="M156" s="307"/>
      <c r="N156" s="307">
        <v>2</v>
      </c>
      <c r="O156" s="308"/>
      <c r="P156" s="306"/>
      <c r="Q156" s="307"/>
      <c r="R156" s="307"/>
      <c r="S156" s="308"/>
      <c r="T156" s="306"/>
      <c r="U156" s="307"/>
      <c r="V156" s="307"/>
      <c r="W156" s="308"/>
      <c r="Z156" s="143">
        <f>SUM(D156:W156)-AA156</f>
        <v>7</v>
      </c>
      <c r="AA156" s="176"/>
      <c r="AB156" s="176">
        <f>10-AA156</f>
        <v>10</v>
      </c>
    </row>
    <row r="157" spans="2:34" ht="18.95" customHeight="1" x14ac:dyDescent="0.3">
      <c r="B157" s="85" t="s">
        <v>241</v>
      </c>
      <c r="C157" s="104" t="s">
        <v>237</v>
      </c>
      <c r="D157" s="306">
        <v>1</v>
      </c>
      <c r="E157" s="307"/>
      <c r="F157" s="307">
        <v>1</v>
      </c>
      <c r="G157" s="307"/>
      <c r="H157" s="306">
        <v>1</v>
      </c>
      <c r="I157" s="307"/>
      <c r="J157" s="307">
        <v>2</v>
      </c>
      <c r="K157" s="308"/>
      <c r="L157" s="306"/>
      <c r="M157" s="307"/>
      <c r="N157" s="307"/>
      <c r="O157" s="308"/>
      <c r="P157" s="306"/>
      <c r="Q157" s="307"/>
      <c r="R157" s="307"/>
      <c r="S157" s="308"/>
      <c r="T157" s="306"/>
      <c r="U157" s="307"/>
      <c r="V157" s="307"/>
      <c r="W157" s="308"/>
      <c r="Z157" s="143">
        <f t="shared" ref="Z157:Z179" si="9">SUM(D157:W157)-AA157</f>
        <v>5</v>
      </c>
      <c r="AA157" s="178"/>
      <c r="AB157" s="176">
        <f t="shared" ref="AB157:AB179" si="10">10-AA157</f>
        <v>10</v>
      </c>
    </row>
    <row r="158" spans="2:34" ht="18.95" customHeight="1" x14ac:dyDescent="0.3">
      <c r="B158" s="85" t="s">
        <v>206</v>
      </c>
      <c r="C158" s="104" t="s">
        <v>237</v>
      </c>
      <c r="D158" s="306"/>
      <c r="E158" s="307"/>
      <c r="F158" s="307"/>
      <c r="G158" s="307"/>
      <c r="H158" s="306">
        <v>1</v>
      </c>
      <c r="I158" s="307"/>
      <c r="J158" s="307">
        <v>1</v>
      </c>
      <c r="K158" s="308"/>
      <c r="L158" s="306"/>
      <c r="M158" s="307"/>
      <c r="N158" s="307"/>
      <c r="O158" s="308"/>
      <c r="P158" s="306"/>
      <c r="Q158" s="307"/>
      <c r="R158" s="307"/>
      <c r="S158" s="308"/>
      <c r="T158" s="306"/>
      <c r="U158" s="307"/>
      <c r="V158" s="307"/>
      <c r="W158" s="308"/>
      <c r="Z158" s="143">
        <f t="shared" si="9"/>
        <v>2</v>
      </c>
      <c r="AA158" s="178"/>
      <c r="AB158" s="176">
        <f t="shared" si="10"/>
        <v>10</v>
      </c>
    </row>
    <row r="159" spans="2:34" ht="18.95" customHeight="1" x14ac:dyDescent="0.3">
      <c r="B159" s="84" t="s">
        <v>208</v>
      </c>
      <c r="C159" s="102" t="s">
        <v>22</v>
      </c>
      <c r="D159" s="306"/>
      <c r="E159" s="307"/>
      <c r="F159" s="307"/>
      <c r="G159" s="307"/>
      <c r="H159" s="306">
        <v>2</v>
      </c>
      <c r="I159" s="307"/>
      <c r="J159" s="307">
        <v>2</v>
      </c>
      <c r="K159" s="308"/>
      <c r="L159" s="306">
        <v>1</v>
      </c>
      <c r="M159" s="307"/>
      <c r="N159" s="307">
        <v>1</v>
      </c>
      <c r="O159" s="308"/>
      <c r="P159" s="306"/>
      <c r="Q159" s="307"/>
      <c r="R159" s="307"/>
      <c r="S159" s="308"/>
      <c r="T159" s="306"/>
      <c r="U159" s="307"/>
      <c r="V159" s="307"/>
      <c r="W159" s="308"/>
      <c r="Z159" s="143">
        <f t="shared" si="9"/>
        <v>6</v>
      </c>
      <c r="AA159" s="176"/>
      <c r="AB159" s="176">
        <f t="shared" si="10"/>
        <v>10</v>
      </c>
    </row>
    <row r="160" spans="2:34" ht="18.95" customHeight="1" x14ac:dyDescent="0.3">
      <c r="B160" s="84" t="s">
        <v>209</v>
      </c>
      <c r="C160" s="102" t="s">
        <v>22</v>
      </c>
      <c r="D160" s="306"/>
      <c r="E160" s="307"/>
      <c r="F160" s="307"/>
      <c r="G160" s="307"/>
      <c r="H160" s="306"/>
      <c r="I160" s="307"/>
      <c r="J160" s="307"/>
      <c r="K160" s="308"/>
      <c r="L160" s="306"/>
      <c r="M160" s="307"/>
      <c r="N160" s="307"/>
      <c r="O160" s="308"/>
      <c r="P160" s="306"/>
      <c r="Q160" s="307"/>
      <c r="R160" s="307"/>
      <c r="S160" s="308"/>
      <c r="T160" s="306"/>
      <c r="U160" s="307"/>
      <c r="V160" s="307"/>
      <c r="W160" s="308"/>
      <c r="Z160" s="143">
        <f t="shared" si="9"/>
        <v>0</v>
      </c>
      <c r="AA160" s="176"/>
      <c r="AB160" s="176">
        <f t="shared" si="10"/>
        <v>10</v>
      </c>
    </row>
    <row r="161" spans="2:28" ht="18.95" customHeight="1" x14ac:dyDescent="0.3">
      <c r="B161" s="84" t="s">
        <v>248</v>
      </c>
      <c r="C161" s="102" t="s">
        <v>26</v>
      </c>
      <c r="D161" s="306"/>
      <c r="E161" s="307"/>
      <c r="F161" s="307"/>
      <c r="G161" s="307"/>
      <c r="H161" s="306"/>
      <c r="I161" s="307"/>
      <c r="J161" s="307"/>
      <c r="K161" s="308"/>
      <c r="L161" s="306"/>
      <c r="M161" s="307"/>
      <c r="N161" s="307"/>
      <c r="O161" s="308"/>
      <c r="P161" s="306"/>
      <c r="Q161" s="307"/>
      <c r="R161" s="307"/>
      <c r="S161" s="308"/>
      <c r="T161" s="306"/>
      <c r="U161" s="307"/>
      <c r="V161" s="307"/>
      <c r="W161" s="308"/>
      <c r="Z161" s="143">
        <f t="shared" si="9"/>
        <v>0</v>
      </c>
      <c r="AA161" s="176">
        <v>0</v>
      </c>
      <c r="AB161" s="176">
        <f t="shared" si="10"/>
        <v>10</v>
      </c>
    </row>
    <row r="162" spans="2:28" ht="18.95" customHeight="1" x14ac:dyDescent="0.3">
      <c r="B162" s="84" t="s">
        <v>210</v>
      </c>
      <c r="C162" s="104" t="s">
        <v>237</v>
      </c>
      <c r="D162" s="306">
        <v>1</v>
      </c>
      <c r="E162" s="307"/>
      <c r="F162" s="307">
        <v>1</v>
      </c>
      <c r="G162" s="307"/>
      <c r="H162" s="306">
        <v>1</v>
      </c>
      <c r="I162" s="307"/>
      <c r="J162" s="307">
        <v>1</v>
      </c>
      <c r="K162" s="308"/>
      <c r="L162" s="306"/>
      <c r="M162" s="307"/>
      <c r="N162" s="307"/>
      <c r="O162" s="308"/>
      <c r="P162" s="306"/>
      <c r="Q162" s="307"/>
      <c r="R162" s="307"/>
      <c r="S162" s="308"/>
      <c r="T162" s="306"/>
      <c r="U162" s="307"/>
      <c r="V162" s="307"/>
      <c r="W162" s="308"/>
      <c r="Z162" s="143">
        <f t="shared" si="9"/>
        <v>4</v>
      </c>
      <c r="AA162" s="178"/>
      <c r="AB162" s="176">
        <f t="shared" si="10"/>
        <v>10</v>
      </c>
    </row>
    <row r="163" spans="2:28" ht="18.95" customHeight="1" x14ac:dyDescent="0.3">
      <c r="B163" s="84" t="s">
        <v>243</v>
      </c>
      <c r="C163" s="104" t="s">
        <v>237</v>
      </c>
      <c r="D163" s="327">
        <v>1</v>
      </c>
      <c r="E163" s="329"/>
      <c r="F163" s="359">
        <v>1</v>
      </c>
      <c r="G163" s="329"/>
      <c r="H163" s="327">
        <v>1</v>
      </c>
      <c r="I163" s="329"/>
      <c r="J163" s="359">
        <v>1</v>
      </c>
      <c r="K163" s="329"/>
      <c r="L163" s="327">
        <v>1</v>
      </c>
      <c r="M163" s="329"/>
      <c r="N163" s="359">
        <v>1</v>
      </c>
      <c r="O163" s="329"/>
      <c r="P163" s="327"/>
      <c r="Q163" s="329"/>
      <c r="R163" s="359"/>
      <c r="S163" s="333"/>
      <c r="T163" s="327"/>
      <c r="U163" s="329"/>
      <c r="V163" s="359"/>
      <c r="W163" s="333"/>
      <c r="Z163" s="143">
        <f t="shared" si="9"/>
        <v>6</v>
      </c>
      <c r="AA163" s="178"/>
      <c r="AB163" s="176">
        <f t="shared" si="10"/>
        <v>10</v>
      </c>
    </row>
    <row r="164" spans="2:28" ht="18.95" customHeight="1" x14ac:dyDescent="0.3">
      <c r="B164" s="84" t="s">
        <v>212</v>
      </c>
      <c r="C164" s="104" t="s">
        <v>237</v>
      </c>
      <c r="D164" s="306">
        <v>1</v>
      </c>
      <c r="E164" s="307"/>
      <c r="F164" s="307">
        <v>1</v>
      </c>
      <c r="G164" s="307"/>
      <c r="H164" s="306">
        <v>1</v>
      </c>
      <c r="I164" s="307"/>
      <c r="J164" s="307">
        <v>1</v>
      </c>
      <c r="K164" s="308"/>
      <c r="L164" s="306"/>
      <c r="M164" s="307"/>
      <c r="N164" s="307"/>
      <c r="O164" s="308"/>
      <c r="P164" s="306"/>
      <c r="Q164" s="307"/>
      <c r="R164" s="307"/>
      <c r="S164" s="308"/>
      <c r="T164" s="306"/>
      <c r="U164" s="307"/>
      <c r="V164" s="307"/>
      <c r="W164" s="308"/>
      <c r="Z164" s="143">
        <f t="shared" si="9"/>
        <v>4</v>
      </c>
      <c r="AA164" s="178"/>
      <c r="AB164" s="176">
        <f t="shared" si="10"/>
        <v>10</v>
      </c>
    </row>
    <row r="165" spans="2:28" ht="18.95" customHeight="1" x14ac:dyDescent="0.3">
      <c r="B165" s="84" t="s">
        <v>238</v>
      </c>
      <c r="C165" s="102" t="s">
        <v>22</v>
      </c>
      <c r="D165" s="327"/>
      <c r="E165" s="329"/>
      <c r="F165" s="359"/>
      <c r="G165" s="329"/>
      <c r="H165" s="327"/>
      <c r="I165" s="329"/>
      <c r="J165" s="359"/>
      <c r="K165" s="333"/>
      <c r="L165" s="327"/>
      <c r="M165" s="329"/>
      <c r="N165" s="359"/>
      <c r="O165" s="333"/>
      <c r="P165" s="327"/>
      <c r="Q165" s="329"/>
      <c r="R165" s="359"/>
      <c r="S165" s="333"/>
      <c r="T165" s="327"/>
      <c r="U165" s="329"/>
      <c r="V165" s="359"/>
      <c r="W165" s="333"/>
      <c r="Z165" s="143">
        <f t="shared" si="9"/>
        <v>0</v>
      </c>
      <c r="AA165" s="176"/>
      <c r="AB165" s="176">
        <f t="shared" si="10"/>
        <v>10</v>
      </c>
    </row>
    <row r="166" spans="2:28" ht="18.95" customHeight="1" x14ac:dyDescent="0.3">
      <c r="B166" s="84" t="s">
        <v>214</v>
      </c>
      <c r="C166" s="104" t="s">
        <v>237</v>
      </c>
      <c r="D166" s="306">
        <v>1</v>
      </c>
      <c r="E166" s="307"/>
      <c r="F166" s="307">
        <v>1</v>
      </c>
      <c r="G166" s="307"/>
      <c r="H166" s="306">
        <v>1</v>
      </c>
      <c r="I166" s="307"/>
      <c r="J166" s="307">
        <v>1</v>
      </c>
      <c r="K166" s="308"/>
      <c r="L166" s="306">
        <v>1</v>
      </c>
      <c r="M166" s="307"/>
      <c r="N166" s="307">
        <v>1</v>
      </c>
      <c r="O166" s="308"/>
      <c r="P166" s="306"/>
      <c r="Q166" s="307"/>
      <c r="R166" s="307"/>
      <c r="S166" s="308"/>
      <c r="T166" s="306"/>
      <c r="U166" s="307"/>
      <c r="V166" s="307"/>
      <c r="W166" s="308"/>
      <c r="Z166" s="143">
        <f t="shared" si="9"/>
        <v>6</v>
      </c>
      <c r="AA166" s="178">
        <v>0</v>
      </c>
      <c r="AB166" s="176">
        <f t="shared" si="10"/>
        <v>10</v>
      </c>
    </row>
    <row r="167" spans="2:28" ht="18.95" customHeight="1" x14ac:dyDescent="0.3">
      <c r="B167" s="84" t="s">
        <v>216</v>
      </c>
      <c r="C167" s="102" t="s">
        <v>22</v>
      </c>
      <c r="D167" s="306"/>
      <c r="E167" s="307"/>
      <c r="F167" s="307"/>
      <c r="G167" s="307"/>
      <c r="H167" s="306"/>
      <c r="I167" s="307"/>
      <c r="J167" s="307"/>
      <c r="K167" s="308"/>
      <c r="L167" s="306">
        <v>2</v>
      </c>
      <c r="M167" s="307"/>
      <c r="N167" s="307">
        <v>3</v>
      </c>
      <c r="O167" s="308"/>
      <c r="P167" s="306"/>
      <c r="Q167" s="307"/>
      <c r="R167" s="307"/>
      <c r="S167" s="308"/>
      <c r="T167" s="306"/>
      <c r="U167" s="307"/>
      <c r="V167" s="307"/>
      <c r="W167" s="308"/>
      <c r="Z167" s="143">
        <f t="shared" si="9"/>
        <v>5</v>
      </c>
      <c r="AA167" s="176"/>
      <c r="AB167" s="176">
        <f t="shared" si="10"/>
        <v>10</v>
      </c>
    </row>
    <row r="168" spans="2:28" ht="18.95" customHeight="1" x14ac:dyDescent="0.3">
      <c r="B168" s="85" t="s">
        <v>219</v>
      </c>
      <c r="C168" s="115" t="s">
        <v>26</v>
      </c>
      <c r="D168" s="306">
        <v>1</v>
      </c>
      <c r="E168" s="307"/>
      <c r="F168" s="307">
        <v>1</v>
      </c>
      <c r="G168" s="307"/>
      <c r="H168" s="306">
        <v>1</v>
      </c>
      <c r="I168" s="307"/>
      <c r="J168" s="307">
        <v>1</v>
      </c>
      <c r="K168" s="308"/>
      <c r="L168" s="306">
        <v>1</v>
      </c>
      <c r="M168" s="307"/>
      <c r="N168" s="307">
        <v>1</v>
      </c>
      <c r="O168" s="308"/>
      <c r="P168" s="306"/>
      <c r="Q168" s="307"/>
      <c r="R168" s="307"/>
      <c r="S168" s="308"/>
      <c r="T168" s="306"/>
      <c r="U168" s="307"/>
      <c r="V168" s="307"/>
      <c r="W168" s="308"/>
      <c r="Z168" s="143">
        <f t="shared" si="9"/>
        <v>6</v>
      </c>
      <c r="AA168" s="176"/>
      <c r="AB168" s="176">
        <f t="shared" si="10"/>
        <v>10</v>
      </c>
    </row>
    <row r="169" spans="2:28" ht="18.95" customHeight="1" x14ac:dyDescent="0.3">
      <c r="B169" s="85" t="s">
        <v>245</v>
      </c>
      <c r="C169" s="104" t="s">
        <v>237</v>
      </c>
      <c r="D169" s="327">
        <v>1</v>
      </c>
      <c r="E169" s="329"/>
      <c r="F169" s="359"/>
      <c r="G169" s="329"/>
      <c r="H169" s="327">
        <v>1</v>
      </c>
      <c r="I169" s="329"/>
      <c r="J169" s="359">
        <v>1</v>
      </c>
      <c r="K169" s="333"/>
      <c r="L169" s="327">
        <v>1</v>
      </c>
      <c r="M169" s="329"/>
      <c r="N169" s="359">
        <v>1</v>
      </c>
      <c r="O169" s="333"/>
      <c r="P169" s="327"/>
      <c r="Q169" s="329"/>
      <c r="R169" s="359"/>
      <c r="S169" s="333"/>
      <c r="T169" s="327"/>
      <c r="U169" s="329"/>
      <c r="V169" s="359"/>
      <c r="W169" s="333"/>
      <c r="Z169" s="143">
        <f t="shared" si="9"/>
        <v>5</v>
      </c>
      <c r="AA169" s="176"/>
      <c r="AB169" s="176">
        <f t="shared" si="10"/>
        <v>10</v>
      </c>
    </row>
    <row r="170" spans="2:28" ht="18.95" customHeight="1" x14ac:dyDescent="0.3">
      <c r="B170" s="84" t="s">
        <v>220</v>
      </c>
      <c r="C170" s="102" t="s">
        <v>22</v>
      </c>
      <c r="D170" s="306"/>
      <c r="E170" s="307"/>
      <c r="F170" s="307"/>
      <c r="G170" s="307"/>
      <c r="H170" s="306"/>
      <c r="I170" s="307"/>
      <c r="J170" s="307"/>
      <c r="K170" s="308"/>
      <c r="L170" s="306"/>
      <c r="M170" s="307"/>
      <c r="N170" s="307"/>
      <c r="O170" s="308"/>
      <c r="P170" s="306"/>
      <c r="Q170" s="307"/>
      <c r="R170" s="307"/>
      <c r="S170" s="308"/>
      <c r="T170" s="306"/>
      <c r="U170" s="307"/>
      <c r="V170" s="307"/>
      <c r="W170" s="308"/>
      <c r="Z170" s="143">
        <f t="shared" si="9"/>
        <v>0</v>
      </c>
      <c r="AA170" s="178"/>
      <c r="AB170" s="176">
        <f t="shared" si="10"/>
        <v>10</v>
      </c>
    </row>
    <row r="171" spans="2:28" ht="18.95" customHeight="1" x14ac:dyDescent="0.3">
      <c r="B171" s="84" t="s">
        <v>221</v>
      </c>
      <c r="C171" s="104" t="s">
        <v>237</v>
      </c>
      <c r="D171" s="306">
        <v>1</v>
      </c>
      <c r="E171" s="307"/>
      <c r="F171" s="307">
        <v>1</v>
      </c>
      <c r="G171" s="307"/>
      <c r="H171" s="306">
        <v>1</v>
      </c>
      <c r="I171" s="307"/>
      <c r="J171" s="307">
        <v>1</v>
      </c>
      <c r="K171" s="308"/>
      <c r="L171" s="306">
        <v>1</v>
      </c>
      <c r="M171" s="307"/>
      <c r="N171" s="307">
        <v>1</v>
      </c>
      <c r="O171" s="308"/>
      <c r="P171" s="306"/>
      <c r="Q171" s="307"/>
      <c r="R171" s="307"/>
      <c r="S171" s="308"/>
      <c r="T171" s="306"/>
      <c r="U171" s="307"/>
      <c r="V171" s="307"/>
      <c r="W171" s="308"/>
      <c r="Z171" s="143">
        <f t="shared" si="9"/>
        <v>6</v>
      </c>
      <c r="AA171" s="176"/>
      <c r="AB171" s="176">
        <f t="shared" si="10"/>
        <v>10</v>
      </c>
    </row>
    <row r="172" spans="2:28" ht="18.95" customHeight="1" x14ac:dyDescent="0.3">
      <c r="B172" s="84" t="s">
        <v>223</v>
      </c>
      <c r="C172" s="102" t="s">
        <v>22</v>
      </c>
      <c r="D172" s="306">
        <v>1</v>
      </c>
      <c r="E172" s="307"/>
      <c r="F172" s="307"/>
      <c r="G172" s="307"/>
      <c r="H172" s="306"/>
      <c r="I172" s="307"/>
      <c r="J172" s="307"/>
      <c r="K172" s="308"/>
      <c r="L172" s="306"/>
      <c r="M172" s="307"/>
      <c r="N172" s="307"/>
      <c r="O172" s="308"/>
      <c r="P172" s="306"/>
      <c r="Q172" s="307"/>
      <c r="R172" s="307"/>
      <c r="S172" s="308"/>
      <c r="T172" s="306"/>
      <c r="U172" s="307"/>
      <c r="V172" s="307"/>
      <c r="W172" s="308"/>
      <c r="Z172" s="143">
        <f t="shared" si="9"/>
        <v>1</v>
      </c>
      <c r="AA172" s="178"/>
      <c r="AB172" s="176">
        <f t="shared" si="10"/>
        <v>10</v>
      </c>
    </row>
    <row r="173" spans="2:28" ht="18.95" customHeight="1" x14ac:dyDescent="0.3">
      <c r="B173" s="84" t="s">
        <v>224</v>
      </c>
      <c r="C173" s="102" t="s">
        <v>28</v>
      </c>
      <c r="D173" s="306">
        <v>1</v>
      </c>
      <c r="E173" s="307"/>
      <c r="F173" s="307">
        <v>1</v>
      </c>
      <c r="G173" s="307"/>
      <c r="H173" s="306">
        <v>1</v>
      </c>
      <c r="I173" s="307"/>
      <c r="J173" s="307">
        <v>1</v>
      </c>
      <c r="K173" s="308"/>
      <c r="L173" s="306">
        <v>1</v>
      </c>
      <c r="M173" s="307"/>
      <c r="N173" s="307">
        <v>1</v>
      </c>
      <c r="O173" s="308"/>
      <c r="P173" s="306"/>
      <c r="Q173" s="307"/>
      <c r="R173" s="307"/>
      <c r="S173" s="308"/>
      <c r="T173" s="306"/>
      <c r="U173" s="307"/>
      <c r="V173" s="307"/>
      <c r="W173" s="308"/>
      <c r="Z173" s="143">
        <f t="shared" si="9"/>
        <v>6</v>
      </c>
      <c r="AA173" s="176"/>
      <c r="AB173" s="176">
        <f t="shared" si="10"/>
        <v>10</v>
      </c>
    </row>
    <row r="174" spans="2:28" ht="18.95" customHeight="1" x14ac:dyDescent="0.3">
      <c r="B174" s="84" t="s">
        <v>234</v>
      </c>
      <c r="C174" s="102" t="s">
        <v>22</v>
      </c>
      <c r="D174" s="306"/>
      <c r="E174" s="307"/>
      <c r="F174" s="307"/>
      <c r="G174" s="307"/>
      <c r="H174" s="306"/>
      <c r="I174" s="307"/>
      <c r="J174" s="307"/>
      <c r="K174" s="308"/>
      <c r="L174" s="306"/>
      <c r="M174" s="307"/>
      <c r="N174" s="307"/>
      <c r="O174" s="308"/>
      <c r="P174" s="306"/>
      <c r="Q174" s="307"/>
      <c r="R174" s="307"/>
      <c r="S174" s="308"/>
      <c r="T174" s="306"/>
      <c r="U174" s="307"/>
      <c r="V174" s="307"/>
      <c r="W174" s="308"/>
      <c r="Z174" s="143">
        <f t="shared" si="9"/>
        <v>0</v>
      </c>
      <c r="AA174" s="176"/>
      <c r="AB174" s="176">
        <f t="shared" si="10"/>
        <v>10</v>
      </c>
    </row>
    <row r="175" spans="2:28" ht="18.95" customHeight="1" x14ac:dyDescent="0.3">
      <c r="B175" s="84" t="s">
        <v>226</v>
      </c>
      <c r="C175" s="102" t="s">
        <v>28</v>
      </c>
      <c r="D175" s="306"/>
      <c r="E175" s="307"/>
      <c r="F175" s="307"/>
      <c r="G175" s="307"/>
      <c r="H175" s="306"/>
      <c r="I175" s="307"/>
      <c r="J175" s="307" t="s">
        <v>201</v>
      </c>
      <c r="K175" s="308"/>
      <c r="L175" s="306"/>
      <c r="M175" s="307"/>
      <c r="N175" s="307"/>
      <c r="O175" s="308"/>
      <c r="P175" s="306"/>
      <c r="Q175" s="307"/>
      <c r="R175" s="307"/>
      <c r="S175" s="308"/>
      <c r="T175" s="306"/>
      <c r="U175" s="307"/>
      <c r="V175" s="307"/>
      <c r="W175" s="308"/>
      <c r="Z175" s="143">
        <f t="shared" si="9"/>
        <v>0</v>
      </c>
      <c r="AA175" s="131"/>
      <c r="AB175" s="176">
        <f t="shared" si="10"/>
        <v>10</v>
      </c>
    </row>
    <row r="176" spans="2:28" ht="18.95" customHeight="1" x14ac:dyDescent="0.3">
      <c r="B176" s="85" t="s">
        <v>227</v>
      </c>
      <c r="C176" s="115" t="s">
        <v>24</v>
      </c>
      <c r="D176" s="306">
        <v>1</v>
      </c>
      <c r="E176" s="307"/>
      <c r="F176" s="307"/>
      <c r="G176" s="307"/>
      <c r="H176" s="306">
        <v>2</v>
      </c>
      <c r="I176" s="307"/>
      <c r="J176" s="307">
        <v>3</v>
      </c>
      <c r="K176" s="308"/>
      <c r="L176" s="306">
        <v>1</v>
      </c>
      <c r="M176" s="307"/>
      <c r="N176" s="307">
        <v>1</v>
      </c>
      <c r="O176" s="308"/>
      <c r="P176" s="306"/>
      <c r="Q176" s="307"/>
      <c r="R176" s="307"/>
      <c r="S176" s="308"/>
      <c r="T176" s="306"/>
      <c r="U176" s="307"/>
      <c r="V176" s="307"/>
      <c r="W176" s="308"/>
      <c r="Z176" s="143">
        <f t="shared" si="9"/>
        <v>8</v>
      </c>
      <c r="AA176" s="176"/>
      <c r="AB176" s="176">
        <f t="shared" si="10"/>
        <v>10</v>
      </c>
    </row>
    <row r="177" spans="2:28" ht="18.95" customHeight="1" x14ac:dyDescent="0.3">
      <c r="B177" s="84" t="s">
        <v>228</v>
      </c>
      <c r="C177" s="102" t="s">
        <v>28</v>
      </c>
      <c r="D177" s="306">
        <v>1</v>
      </c>
      <c r="E177" s="307"/>
      <c r="F177" s="307">
        <v>1</v>
      </c>
      <c r="G177" s="307"/>
      <c r="H177" s="306">
        <v>1</v>
      </c>
      <c r="I177" s="307"/>
      <c r="J177" s="307">
        <v>1</v>
      </c>
      <c r="K177" s="308"/>
      <c r="L177" s="306"/>
      <c r="M177" s="307"/>
      <c r="N177" s="307"/>
      <c r="O177" s="308"/>
      <c r="P177" s="306"/>
      <c r="Q177" s="307"/>
      <c r="R177" s="307"/>
      <c r="S177" s="308"/>
      <c r="T177" s="306"/>
      <c r="U177" s="307"/>
      <c r="V177" s="307"/>
      <c r="W177" s="308"/>
      <c r="Z177" s="143">
        <f t="shared" si="9"/>
        <v>4</v>
      </c>
      <c r="AA177" s="176"/>
      <c r="AB177" s="176">
        <f t="shared" si="10"/>
        <v>10</v>
      </c>
    </row>
    <row r="178" spans="2:28" ht="18.95" customHeight="1" x14ac:dyDescent="0.3">
      <c r="B178" s="84" t="s">
        <v>231</v>
      </c>
      <c r="C178" s="102" t="s">
        <v>22</v>
      </c>
      <c r="D178" s="306"/>
      <c r="E178" s="307"/>
      <c r="F178" s="307"/>
      <c r="G178" s="307"/>
      <c r="H178" s="306"/>
      <c r="I178" s="307"/>
      <c r="J178" s="307"/>
      <c r="K178" s="308"/>
      <c r="L178" s="306"/>
      <c r="M178" s="307"/>
      <c r="N178" s="307"/>
      <c r="O178" s="308"/>
      <c r="P178" s="306"/>
      <c r="Q178" s="307"/>
      <c r="R178" s="307"/>
      <c r="S178" s="308"/>
      <c r="T178" s="306"/>
      <c r="U178" s="307"/>
      <c r="V178" s="307"/>
      <c r="W178" s="308"/>
      <c r="Z178" s="143">
        <f t="shared" si="9"/>
        <v>0</v>
      </c>
      <c r="AA178" s="176"/>
      <c r="AB178" s="176">
        <f t="shared" si="10"/>
        <v>10</v>
      </c>
    </row>
    <row r="179" spans="2:28" ht="18.95" customHeight="1" x14ac:dyDescent="0.3">
      <c r="B179" s="85" t="s">
        <v>232</v>
      </c>
      <c r="C179" s="102" t="s">
        <v>28</v>
      </c>
      <c r="D179" s="306"/>
      <c r="E179" s="307"/>
      <c r="F179" s="307"/>
      <c r="G179" s="307"/>
      <c r="H179" s="306"/>
      <c r="I179" s="307"/>
      <c r="J179" s="307"/>
      <c r="K179" s="308"/>
      <c r="L179" s="306"/>
      <c r="M179" s="307"/>
      <c r="N179" s="307"/>
      <c r="O179" s="308"/>
      <c r="P179" s="306"/>
      <c r="Q179" s="307"/>
      <c r="R179" s="307"/>
      <c r="S179" s="308"/>
      <c r="T179" s="306"/>
      <c r="U179" s="307"/>
      <c r="V179" s="307"/>
      <c r="W179" s="308"/>
      <c r="Z179" s="143">
        <f t="shared" si="9"/>
        <v>0</v>
      </c>
      <c r="AA179" s="176"/>
      <c r="AB179" s="176">
        <f t="shared" si="10"/>
        <v>10</v>
      </c>
    </row>
    <row r="180" spans="2:28" ht="18.95" customHeight="1" x14ac:dyDescent="0.3">
      <c r="B180" s="85"/>
      <c r="C180" s="102"/>
      <c r="D180" s="306"/>
      <c r="E180" s="307"/>
      <c r="F180" s="307"/>
      <c r="G180" s="307"/>
      <c r="H180" s="306"/>
      <c r="I180" s="307"/>
      <c r="J180" s="307"/>
      <c r="K180" s="308"/>
      <c r="L180" s="306"/>
      <c r="M180" s="307"/>
      <c r="N180" s="307"/>
      <c r="O180" s="308"/>
      <c r="P180" s="306"/>
      <c r="Q180" s="307"/>
      <c r="R180" s="307"/>
      <c r="S180" s="308"/>
      <c r="T180" s="306"/>
      <c r="U180" s="307"/>
      <c r="V180" s="307"/>
      <c r="W180" s="308"/>
      <c r="Z180" s="143">
        <f t="shared" ref="Z180" si="11">COUNTA(D180:W180)-AA180</f>
        <v>0</v>
      </c>
      <c r="AA180" s="176"/>
      <c r="AB180" s="176"/>
    </row>
    <row r="181" spans="2:28" ht="18.95" customHeight="1" thickBot="1" x14ac:dyDescent="0.35">
      <c r="B181" s="85"/>
      <c r="C181" s="115"/>
      <c r="D181" s="312"/>
      <c r="E181" s="313"/>
      <c r="F181" s="313"/>
      <c r="G181" s="313"/>
      <c r="H181" s="312"/>
      <c r="I181" s="313"/>
      <c r="J181" s="313"/>
      <c r="K181" s="317"/>
      <c r="L181" s="312"/>
      <c r="M181" s="313"/>
      <c r="N181" s="313"/>
      <c r="O181" s="317"/>
      <c r="P181" s="312"/>
      <c r="Q181" s="313"/>
      <c r="R181" s="313"/>
      <c r="S181" s="317"/>
      <c r="T181" s="312"/>
      <c r="U181" s="313"/>
      <c r="V181" s="313"/>
      <c r="W181" s="317"/>
      <c r="Z181" s="143">
        <f>SUBTOTAL(9,Z156:Z180)</f>
        <v>81</v>
      </c>
      <c r="AA181" s="176"/>
      <c r="AB181" s="176">
        <f>SUM(AB156:AB180)</f>
        <v>240</v>
      </c>
    </row>
  </sheetData>
  <autoFilter ref="B124:S150" xr:uid="{F8033535-112B-4C99-A8D5-83A851006727}">
    <filterColumn colId="1">
      <filters>
        <filter val="Cast House"/>
      </filters>
    </filterColumn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</autoFilter>
  <sortState xmlns:xlrd2="http://schemas.microsoft.com/office/spreadsheetml/2017/richdata2" ref="B17:C39">
    <sortCondition ref="B17:B39"/>
  </sortState>
  <mergeCells count="1376">
    <mergeCell ref="AF151:AH151"/>
    <mergeCell ref="AD140:AJ141"/>
    <mergeCell ref="T146:X146"/>
    <mergeCell ref="T176:U176"/>
    <mergeCell ref="V176:W176"/>
    <mergeCell ref="T177:U177"/>
    <mergeCell ref="V177:W177"/>
    <mergeCell ref="T178:U178"/>
    <mergeCell ref="V178:W178"/>
    <mergeCell ref="T179:U179"/>
    <mergeCell ref="V179:W179"/>
    <mergeCell ref="T180:U180"/>
    <mergeCell ref="V180:W180"/>
    <mergeCell ref="T181:U181"/>
    <mergeCell ref="V181:W181"/>
    <mergeCell ref="V167:W167"/>
    <mergeCell ref="T168:U168"/>
    <mergeCell ref="V168:W168"/>
    <mergeCell ref="T169:U169"/>
    <mergeCell ref="V169:W169"/>
    <mergeCell ref="T170:U170"/>
    <mergeCell ref="V170:W170"/>
    <mergeCell ref="T171:U171"/>
    <mergeCell ref="V171:W171"/>
    <mergeCell ref="T172:U172"/>
    <mergeCell ref="V172:W172"/>
    <mergeCell ref="T173:U173"/>
    <mergeCell ref="V173:W173"/>
    <mergeCell ref="T174:U174"/>
    <mergeCell ref="V174:W174"/>
    <mergeCell ref="T175:U175"/>
    <mergeCell ref="V175:W175"/>
    <mergeCell ref="D181:E181"/>
    <mergeCell ref="F181:G181"/>
    <mergeCell ref="H181:I181"/>
    <mergeCell ref="J181:K181"/>
    <mergeCell ref="L181:M181"/>
    <mergeCell ref="N181:O181"/>
    <mergeCell ref="P181:Q181"/>
    <mergeCell ref="R181:S181"/>
    <mergeCell ref="AC125:AH125"/>
    <mergeCell ref="T155:W155"/>
    <mergeCell ref="T154:W154"/>
    <mergeCell ref="T156:U156"/>
    <mergeCell ref="V156:W156"/>
    <mergeCell ref="T157:U157"/>
    <mergeCell ref="V157:W157"/>
    <mergeCell ref="T159:U159"/>
    <mergeCell ref="V159:W159"/>
    <mergeCell ref="T160:U160"/>
    <mergeCell ref="V160:W160"/>
    <mergeCell ref="T161:U161"/>
    <mergeCell ref="V161:W161"/>
    <mergeCell ref="T162:U162"/>
    <mergeCell ref="V162:W162"/>
    <mergeCell ref="T163:U163"/>
    <mergeCell ref="V163:W163"/>
    <mergeCell ref="T164:U164"/>
    <mergeCell ref="V164:W164"/>
    <mergeCell ref="T165:U165"/>
    <mergeCell ref="V165:W165"/>
    <mergeCell ref="T166:U166"/>
    <mergeCell ref="V166:W166"/>
    <mergeCell ref="T167:U167"/>
    <mergeCell ref="D178:E178"/>
    <mergeCell ref="F178:G178"/>
    <mergeCell ref="H178:I178"/>
    <mergeCell ref="J178:K178"/>
    <mergeCell ref="L178:M178"/>
    <mergeCell ref="N178:O178"/>
    <mergeCell ref="P178:Q178"/>
    <mergeCell ref="R178:S178"/>
    <mergeCell ref="D179:E179"/>
    <mergeCell ref="F179:G179"/>
    <mergeCell ref="H179:I179"/>
    <mergeCell ref="J179:K179"/>
    <mergeCell ref="L179:M179"/>
    <mergeCell ref="N179:O179"/>
    <mergeCell ref="P179:Q179"/>
    <mergeCell ref="R179:S179"/>
    <mergeCell ref="D180:E180"/>
    <mergeCell ref="F180:G180"/>
    <mergeCell ref="H180:I180"/>
    <mergeCell ref="J180:K180"/>
    <mergeCell ref="L180:M180"/>
    <mergeCell ref="N180:O180"/>
    <mergeCell ref="P180:Q180"/>
    <mergeCell ref="R180:S180"/>
    <mergeCell ref="D175:E175"/>
    <mergeCell ref="F175:G175"/>
    <mergeCell ref="H175:I175"/>
    <mergeCell ref="J175:K175"/>
    <mergeCell ref="L175:M175"/>
    <mergeCell ref="N175:O175"/>
    <mergeCell ref="P175:Q175"/>
    <mergeCell ref="R175:S175"/>
    <mergeCell ref="D176:E176"/>
    <mergeCell ref="F176:G176"/>
    <mergeCell ref="H176:I176"/>
    <mergeCell ref="J176:K176"/>
    <mergeCell ref="L176:M176"/>
    <mergeCell ref="N176:O176"/>
    <mergeCell ref="P176:Q176"/>
    <mergeCell ref="R176:S176"/>
    <mergeCell ref="D177:E177"/>
    <mergeCell ref="F177:G177"/>
    <mergeCell ref="H177:I177"/>
    <mergeCell ref="J177:K177"/>
    <mergeCell ref="L177:M177"/>
    <mergeCell ref="N177:O177"/>
    <mergeCell ref="P177:Q177"/>
    <mergeCell ref="R177:S177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D173:E173"/>
    <mergeCell ref="F173:G173"/>
    <mergeCell ref="H173:I173"/>
    <mergeCell ref="J173:K173"/>
    <mergeCell ref="L173:M173"/>
    <mergeCell ref="N173:O173"/>
    <mergeCell ref="P173:Q173"/>
    <mergeCell ref="R173:S173"/>
    <mergeCell ref="D174:E174"/>
    <mergeCell ref="F174:G174"/>
    <mergeCell ref="H174:I174"/>
    <mergeCell ref="J174:K174"/>
    <mergeCell ref="L174:M174"/>
    <mergeCell ref="N174:O174"/>
    <mergeCell ref="P174:Q174"/>
    <mergeCell ref="R174:S174"/>
    <mergeCell ref="D169:E169"/>
    <mergeCell ref="F169:G169"/>
    <mergeCell ref="H169:I169"/>
    <mergeCell ref="J169:K169"/>
    <mergeCell ref="L169:M169"/>
    <mergeCell ref="N169:O169"/>
    <mergeCell ref="P169:Q169"/>
    <mergeCell ref="R169:S169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D166:E166"/>
    <mergeCell ref="F166:G166"/>
    <mergeCell ref="H166:I166"/>
    <mergeCell ref="J166:K166"/>
    <mergeCell ref="L166:M166"/>
    <mergeCell ref="N166:O166"/>
    <mergeCell ref="P166:Q166"/>
    <mergeCell ref="R166:S166"/>
    <mergeCell ref="D167:E167"/>
    <mergeCell ref="F167:G167"/>
    <mergeCell ref="H167:I167"/>
    <mergeCell ref="J167:K167"/>
    <mergeCell ref="L167:M167"/>
    <mergeCell ref="N167:O167"/>
    <mergeCell ref="P167:Q167"/>
    <mergeCell ref="R167:S167"/>
    <mergeCell ref="D168:E168"/>
    <mergeCell ref="F168:G168"/>
    <mergeCell ref="H168:I168"/>
    <mergeCell ref="J168:K168"/>
    <mergeCell ref="L168:M168"/>
    <mergeCell ref="N168:O168"/>
    <mergeCell ref="P168:Q168"/>
    <mergeCell ref="R168:S168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D164:E164"/>
    <mergeCell ref="F164:G164"/>
    <mergeCell ref="H164:I164"/>
    <mergeCell ref="J164:K164"/>
    <mergeCell ref="L164:M164"/>
    <mergeCell ref="N164:O164"/>
    <mergeCell ref="P164:Q164"/>
    <mergeCell ref="R164:S164"/>
    <mergeCell ref="D165:E165"/>
    <mergeCell ref="F165:G165"/>
    <mergeCell ref="H165:I165"/>
    <mergeCell ref="J165:K165"/>
    <mergeCell ref="L165:M165"/>
    <mergeCell ref="N165:O165"/>
    <mergeCell ref="P165:Q165"/>
    <mergeCell ref="R165:S165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B154:B155"/>
    <mergeCell ref="D154:G154"/>
    <mergeCell ref="H154:K154"/>
    <mergeCell ref="L154:O154"/>
    <mergeCell ref="P154:S154"/>
    <mergeCell ref="D155:G155"/>
    <mergeCell ref="H155:K155"/>
    <mergeCell ref="L155:O155"/>
    <mergeCell ref="P155:S155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AD106:AJ106"/>
    <mergeCell ref="D149:E149"/>
    <mergeCell ref="F149:G149"/>
    <mergeCell ref="H149:I149"/>
    <mergeCell ref="J149:K149"/>
    <mergeCell ref="L149:M149"/>
    <mergeCell ref="N149:O149"/>
    <mergeCell ref="P149:Q149"/>
    <mergeCell ref="R149:S149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D146:E146"/>
    <mergeCell ref="F146:G146"/>
    <mergeCell ref="H146:I146"/>
    <mergeCell ref="J146:K146"/>
    <mergeCell ref="L146:M146"/>
    <mergeCell ref="N146:O146"/>
    <mergeCell ref="P146:Q146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R146:S146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D141:E141"/>
    <mergeCell ref="F141:G141"/>
    <mergeCell ref="H141:I141"/>
    <mergeCell ref="J141:K141"/>
    <mergeCell ref="L141:M141"/>
    <mergeCell ref="N141:O141"/>
    <mergeCell ref="P141:Q141"/>
    <mergeCell ref="R141:S141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D140:E140"/>
    <mergeCell ref="F140:G140"/>
    <mergeCell ref="H140:I140"/>
    <mergeCell ref="J140:K140"/>
    <mergeCell ref="L140:M140"/>
    <mergeCell ref="N140:O140"/>
    <mergeCell ref="P140:Q140"/>
    <mergeCell ref="R140:S140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D124:G124"/>
    <mergeCell ref="H124:K124"/>
    <mergeCell ref="L124:O124"/>
    <mergeCell ref="P124:S124"/>
    <mergeCell ref="D125:G125"/>
    <mergeCell ref="H125:K125"/>
    <mergeCell ref="L125:O125"/>
    <mergeCell ref="P125:S125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R110:S110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D119:E119"/>
    <mergeCell ref="F119:G119"/>
    <mergeCell ref="H119:I119"/>
    <mergeCell ref="J119:K119"/>
    <mergeCell ref="L119:M119"/>
    <mergeCell ref="N119:O119"/>
    <mergeCell ref="P119:Q119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R119:S119"/>
    <mergeCell ref="F116:G116"/>
    <mergeCell ref="H116:I116"/>
    <mergeCell ref="J116:K116"/>
    <mergeCell ref="L116:M116"/>
    <mergeCell ref="N116:O116"/>
    <mergeCell ref="P116:Q116"/>
    <mergeCell ref="R116:S116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73:U73"/>
    <mergeCell ref="V73:W73"/>
    <mergeCell ref="T74:U74"/>
    <mergeCell ref="AF68:AH68"/>
    <mergeCell ref="V92:W92"/>
    <mergeCell ref="T93:U93"/>
    <mergeCell ref="V93:W93"/>
    <mergeCell ref="T94:U94"/>
    <mergeCell ref="V94:W94"/>
    <mergeCell ref="T91:U91"/>
    <mergeCell ref="V91:W91"/>
    <mergeCell ref="V80:W80"/>
    <mergeCell ref="T81:U81"/>
    <mergeCell ref="V81:W81"/>
    <mergeCell ref="T76:U76"/>
    <mergeCell ref="T82:U82"/>
    <mergeCell ref="V71:W71"/>
    <mergeCell ref="T72:U72"/>
    <mergeCell ref="V72:W72"/>
    <mergeCell ref="T92:U92"/>
    <mergeCell ref="V78:W78"/>
    <mergeCell ref="V74:W74"/>
    <mergeCell ref="T75:U75"/>
    <mergeCell ref="V75:W75"/>
    <mergeCell ref="T71:U71"/>
    <mergeCell ref="T87:U87"/>
    <mergeCell ref="T78:U78"/>
    <mergeCell ref="T86:U86"/>
    <mergeCell ref="V87:W87"/>
    <mergeCell ref="T88:U88"/>
    <mergeCell ref="V88:W88"/>
    <mergeCell ref="T89:U89"/>
    <mergeCell ref="V89:W89"/>
    <mergeCell ref="T90:U90"/>
    <mergeCell ref="V90:W90"/>
    <mergeCell ref="V82:W82"/>
    <mergeCell ref="T83:U83"/>
    <mergeCell ref="V83:W83"/>
    <mergeCell ref="T84:U84"/>
    <mergeCell ref="V84:W84"/>
    <mergeCell ref="T85:U85"/>
    <mergeCell ref="V85:W85"/>
    <mergeCell ref="V86:W86"/>
    <mergeCell ref="V76:W76"/>
    <mergeCell ref="T77:U77"/>
    <mergeCell ref="V77:W77"/>
    <mergeCell ref="T79:U79"/>
    <mergeCell ref="V79:W79"/>
    <mergeCell ref="T80:U80"/>
    <mergeCell ref="D99:E99"/>
    <mergeCell ref="F99:G99"/>
    <mergeCell ref="H99:I99"/>
    <mergeCell ref="J99:K99"/>
    <mergeCell ref="L99:M99"/>
    <mergeCell ref="N99:O99"/>
    <mergeCell ref="P99:Q99"/>
    <mergeCell ref="R99:S99"/>
    <mergeCell ref="D110:E110"/>
    <mergeCell ref="F110:G110"/>
    <mergeCell ref="H110:I110"/>
    <mergeCell ref="J110:K110"/>
    <mergeCell ref="L110:M110"/>
    <mergeCell ref="N110:O110"/>
    <mergeCell ref="P110:Q110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D116:E116"/>
    <mergeCell ref="D122:E122"/>
    <mergeCell ref="F122:G122"/>
    <mergeCell ref="H122:I122"/>
    <mergeCell ref="J122:K122"/>
    <mergeCell ref="L122:M122"/>
    <mergeCell ref="N122:O122"/>
    <mergeCell ref="P122:Q122"/>
    <mergeCell ref="R122:S122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P102:Q102"/>
    <mergeCell ref="R102:S102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D102:E102"/>
    <mergeCell ref="F102:G102"/>
    <mergeCell ref="H102:I102"/>
    <mergeCell ref="J102:K102"/>
    <mergeCell ref="L102:M102"/>
    <mergeCell ref="N102:O102"/>
    <mergeCell ref="D94:E94"/>
    <mergeCell ref="F94:G94"/>
    <mergeCell ref="H94:I94"/>
    <mergeCell ref="J94:K94"/>
    <mergeCell ref="L94:M94"/>
    <mergeCell ref="N94:O94"/>
    <mergeCell ref="P94:Q94"/>
    <mergeCell ref="R94:S94"/>
    <mergeCell ref="D98:E98"/>
    <mergeCell ref="F98:G98"/>
    <mergeCell ref="H98:I98"/>
    <mergeCell ref="J98:K98"/>
    <mergeCell ref="L98:M98"/>
    <mergeCell ref="N98:O98"/>
    <mergeCell ref="P98:Q98"/>
    <mergeCell ref="R98:S98"/>
    <mergeCell ref="D96:G96"/>
    <mergeCell ref="H96:K96"/>
    <mergeCell ref="L96:O96"/>
    <mergeCell ref="P96:S96"/>
    <mergeCell ref="D97:G97"/>
    <mergeCell ref="H97:K97"/>
    <mergeCell ref="L97:O97"/>
    <mergeCell ref="P97:S97"/>
    <mergeCell ref="D92:E92"/>
    <mergeCell ref="F92:G92"/>
    <mergeCell ref="H92:I92"/>
    <mergeCell ref="J92:K92"/>
    <mergeCell ref="L92:M92"/>
    <mergeCell ref="N92:O92"/>
    <mergeCell ref="P92:Q92"/>
    <mergeCell ref="R92:S92"/>
    <mergeCell ref="D93:E93"/>
    <mergeCell ref="F93:G93"/>
    <mergeCell ref="H93:I93"/>
    <mergeCell ref="J93:K93"/>
    <mergeCell ref="L93:M93"/>
    <mergeCell ref="N93:O93"/>
    <mergeCell ref="P93:Q93"/>
    <mergeCell ref="R93:S93"/>
    <mergeCell ref="D90:E90"/>
    <mergeCell ref="F90:G90"/>
    <mergeCell ref="H90:I90"/>
    <mergeCell ref="J90:K90"/>
    <mergeCell ref="L90:M90"/>
    <mergeCell ref="N90:O90"/>
    <mergeCell ref="P90:Q90"/>
    <mergeCell ref="R90:S90"/>
    <mergeCell ref="D91:E91"/>
    <mergeCell ref="F91:G91"/>
    <mergeCell ref="H91:I91"/>
    <mergeCell ref="J91:K91"/>
    <mergeCell ref="L91:M91"/>
    <mergeCell ref="N91:O91"/>
    <mergeCell ref="P91:Q91"/>
    <mergeCell ref="R91:S91"/>
    <mergeCell ref="D88:E88"/>
    <mergeCell ref="F88:G88"/>
    <mergeCell ref="H88:I88"/>
    <mergeCell ref="J88:K88"/>
    <mergeCell ref="L88:M88"/>
    <mergeCell ref="N88:O88"/>
    <mergeCell ref="P88:Q88"/>
    <mergeCell ref="R88:S88"/>
    <mergeCell ref="D89:E89"/>
    <mergeCell ref="F89:G89"/>
    <mergeCell ref="H89:I89"/>
    <mergeCell ref="J89:K89"/>
    <mergeCell ref="L89:M89"/>
    <mergeCell ref="N89:O89"/>
    <mergeCell ref="P89:Q89"/>
    <mergeCell ref="R89:S89"/>
    <mergeCell ref="D86:E86"/>
    <mergeCell ref="F86:G86"/>
    <mergeCell ref="H86:I86"/>
    <mergeCell ref="J86:K86"/>
    <mergeCell ref="L86:M86"/>
    <mergeCell ref="N86:O86"/>
    <mergeCell ref="P86:Q86"/>
    <mergeCell ref="R86:S86"/>
    <mergeCell ref="D87:E87"/>
    <mergeCell ref="F87:G87"/>
    <mergeCell ref="H87:I87"/>
    <mergeCell ref="J87:K87"/>
    <mergeCell ref="L87:M87"/>
    <mergeCell ref="N87:O87"/>
    <mergeCell ref="P87:Q87"/>
    <mergeCell ref="R87:S87"/>
    <mergeCell ref="D84:E84"/>
    <mergeCell ref="F84:G84"/>
    <mergeCell ref="H84:I84"/>
    <mergeCell ref="J84:K84"/>
    <mergeCell ref="L84:M84"/>
    <mergeCell ref="N84:O84"/>
    <mergeCell ref="P84:Q84"/>
    <mergeCell ref="R84:S84"/>
    <mergeCell ref="D85:E85"/>
    <mergeCell ref="F85:G85"/>
    <mergeCell ref="H85:I85"/>
    <mergeCell ref="J85:K85"/>
    <mergeCell ref="L85:M85"/>
    <mergeCell ref="N85:O85"/>
    <mergeCell ref="P85:Q85"/>
    <mergeCell ref="R85:S85"/>
    <mergeCell ref="D82:E82"/>
    <mergeCell ref="F82:G82"/>
    <mergeCell ref="H82:I82"/>
    <mergeCell ref="J82:K82"/>
    <mergeCell ref="L82:M82"/>
    <mergeCell ref="N82:O82"/>
    <mergeCell ref="P82:Q82"/>
    <mergeCell ref="R82:S82"/>
    <mergeCell ref="D83:E83"/>
    <mergeCell ref="F83:G83"/>
    <mergeCell ref="H83:I83"/>
    <mergeCell ref="J83:K83"/>
    <mergeCell ref="L83:M83"/>
    <mergeCell ref="N83:O83"/>
    <mergeCell ref="P83:Q83"/>
    <mergeCell ref="R83:S83"/>
    <mergeCell ref="D80:E80"/>
    <mergeCell ref="F80:G80"/>
    <mergeCell ref="H80:I80"/>
    <mergeCell ref="J80:K80"/>
    <mergeCell ref="L80:M80"/>
    <mergeCell ref="N80:O80"/>
    <mergeCell ref="P80:Q80"/>
    <mergeCell ref="R80:S80"/>
    <mergeCell ref="D81:E81"/>
    <mergeCell ref="F81:G81"/>
    <mergeCell ref="H81:I81"/>
    <mergeCell ref="J81:K81"/>
    <mergeCell ref="L81:M81"/>
    <mergeCell ref="N81:O81"/>
    <mergeCell ref="P81:Q81"/>
    <mergeCell ref="R81:S81"/>
    <mergeCell ref="D77:E77"/>
    <mergeCell ref="F77:G77"/>
    <mergeCell ref="H77:I77"/>
    <mergeCell ref="J77:K77"/>
    <mergeCell ref="L77:M77"/>
    <mergeCell ref="N77:O77"/>
    <mergeCell ref="P77:Q77"/>
    <mergeCell ref="R77:S77"/>
    <mergeCell ref="D79:E79"/>
    <mergeCell ref="F79:G79"/>
    <mergeCell ref="H79:I79"/>
    <mergeCell ref="J79:K79"/>
    <mergeCell ref="L79:M79"/>
    <mergeCell ref="N79:O79"/>
    <mergeCell ref="P79:Q79"/>
    <mergeCell ref="R79:S79"/>
    <mergeCell ref="N72:O72"/>
    <mergeCell ref="P72:Q72"/>
    <mergeCell ref="R72:S72"/>
    <mergeCell ref="D78:E78"/>
    <mergeCell ref="F78:G78"/>
    <mergeCell ref="H78:I78"/>
    <mergeCell ref="J78:K78"/>
    <mergeCell ref="L78:M78"/>
    <mergeCell ref="N78:O78"/>
    <mergeCell ref="P78:Q78"/>
    <mergeCell ref="R78:S78"/>
    <mergeCell ref="D75:E75"/>
    <mergeCell ref="F75:G75"/>
    <mergeCell ref="H75:I75"/>
    <mergeCell ref="J75:K75"/>
    <mergeCell ref="L75:M75"/>
    <mergeCell ref="N75:O75"/>
    <mergeCell ref="P75:Q75"/>
    <mergeCell ref="R75:S75"/>
    <mergeCell ref="D76:E76"/>
    <mergeCell ref="F76:G76"/>
    <mergeCell ref="H76:I76"/>
    <mergeCell ref="J76:K76"/>
    <mergeCell ref="L76:M76"/>
    <mergeCell ref="N76:O76"/>
    <mergeCell ref="P76:Q76"/>
    <mergeCell ref="R76:S76"/>
    <mergeCell ref="L35:M35"/>
    <mergeCell ref="N35:O35"/>
    <mergeCell ref="L36:M36"/>
    <mergeCell ref="N36:O36"/>
    <mergeCell ref="L31:M31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N19:O19"/>
    <mergeCell ref="N31:O31"/>
    <mergeCell ref="N32:O32"/>
    <mergeCell ref="P22:Q22"/>
    <mergeCell ref="R22:S22"/>
    <mergeCell ref="P23:Q23"/>
    <mergeCell ref="R23:S23"/>
    <mergeCell ref="P24:Q24"/>
    <mergeCell ref="R24:S24"/>
    <mergeCell ref="L20:M20"/>
    <mergeCell ref="L37:M37"/>
    <mergeCell ref="N37:O37"/>
    <mergeCell ref="L38:M38"/>
    <mergeCell ref="N38:O38"/>
    <mergeCell ref="L28:M28"/>
    <mergeCell ref="N28:O28"/>
    <mergeCell ref="L29:M29"/>
    <mergeCell ref="N29:O29"/>
    <mergeCell ref="L30:M30"/>
    <mergeCell ref="N30:O30"/>
    <mergeCell ref="L25:M25"/>
    <mergeCell ref="N25:O25"/>
    <mergeCell ref="L26:M26"/>
    <mergeCell ref="N26:O26"/>
    <mergeCell ref="L27:M27"/>
    <mergeCell ref="N27:O27"/>
    <mergeCell ref="L22:M22"/>
    <mergeCell ref="N22:O22"/>
    <mergeCell ref="L33:M33"/>
    <mergeCell ref="N33:O33"/>
    <mergeCell ref="L23:M23"/>
    <mergeCell ref="N23:O23"/>
    <mergeCell ref="P26:Q26"/>
    <mergeCell ref="R26:S26"/>
    <mergeCell ref="P27:Q27"/>
    <mergeCell ref="R27:S27"/>
    <mergeCell ref="P32:Q32"/>
    <mergeCell ref="R32:S32"/>
    <mergeCell ref="P33:Q33"/>
    <mergeCell ref="R33:S33"/>
    <mergeCell ref="P19:Q19"/>
    <mergeCell ref="R19:S19"/>
    <mergeCell ref="P20:Q20"/>
    <mergeCell ref="R20:S20"/>
    <mergeCell ref="P21:Q21"/>
    <mergeCell ref="R21:S21"/>
    <mergeCell ref="P28:Q28"/>
    <mergeCell ref="R28:S28"/>
    <mergeCell ref="P29:Q29"/>
    <mergeCell ref="R29:S29"/>
    <mergeCell ref="P30:Q30"/>
    <mergeCell ref="R30:S30"/>
    <mergeCell ref="P25:Q25"/>
    <mergeCell ref="R25:S25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30:I30"/>
    <mergeCell ref="L21:M21"/>
    <mergeCell ref="L32:M32"/>
    <mergeCell ref="H34:I34"/>
    <mergeCell ref="J34:K34"/>
    <mergeCell ref="H29:I29"/>
    <mergeCell ref="J29:K29"/>
    <mergeCell ref="N21:O21"/>
    <mergeCell ref="L24:M24"/>
    <mergeCell ref="N24:O24"/>
    <mergeCell ref="L34:M34"/>
    <mergeCell ref="N34:O34"/>
    <mergeCell ref="H32:I32"/>
    <mergeCell ref="J32:K32"/>
    <mergeCell ref="H33:I33"/>
    <mergeCell ref="J33:K33"/>
    <mergeCell ref="B124:B125"/>
    <mergeCell ref="D30:E30"/>
    <mergeCell ref="F30:G30"/>
    <mergeCell ref="D31:E31"/>
    <mergeCell ref="F31:G31"/>
    <mergeCell ref="D26:E26"/>
    <mergeCell ref="F26:G26"/>
    <mergeCell ref="D27:E27"/>
    <mergeCell ref="B96:B97"/>
    <mergeCell ref="D100:E100"/>
    <mergeCell ref="F100:G100"/>
    <mergeCell ref="B69:B70"/>
    <mergeCell ref="C69:C70"/>
    <mergeCell ref="B41:AJ41"/>
    <mergeCell ref="B42:B43"/>
    <mergeCell ref="C42:C43"/>
    <mergeCell ref="D42:G42"/>
    <mergeCell ref="H42:K42"/>
    <mergeCell ref="L42:O42"/>
    <mergeCell ref="P42:S42"/>
    <mergeCell ref="D34:E34"/>
    <mergeCell ref="F34:G34"/>
    <mergeCell ref="H35:I35"/>
    <mergeCell ref="J35:K35"/>
    <mergeCell ref="H36:I36"/>
    <mergeCell ref="J36:K36"/>
    <mergeCell ref="H37:I37"/>
    <mergeCell ref="J37:K37"/>
    <mergeCell ref="D29:E29"/>
    <mergeCell ref="F29:G29"/>
    <mergeCell ref="H101:I101"/>
    <mergeCell ref="J101:K101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39:G39"/>
    <mergeCell ref="H17:I17"/>
    <mergeCell ref="J17:K17"/>
    <mergeCell ref="L17:M17"/>
    <mergeCell ref="N17:O17"/>
    <mergeCell ref="H18:I18"/>
    <mergeCell ref="J18:K18"/>
    <mergeCell ref="H19:I19"/>
    <mergeCell ref="J19:K19"/>
    <mergeCell ref="D36:E36"/>
    <mergeCell ref="F36:G36"/>
    <mergeCell ref="J39:K39"/>
    <mergeCell ref="L18:M18"/>
    <mergeCell ref="N18:O18"/>
    <mergeCell ref="L19:M19"/>
    <mergeCell ref="H20:I20"/>
    <mergeCell ref="J20:K20"/>
    <mergeCell ref="H21:I21"/>
    <mergeCell ref="J21:K21"/>
    <mergeCell ref="H22:I22"/>
    <mergeCell ref="J22:K22"/>
    <mergeCell ref="H25:I25"/>
    <mergeCell ref="J25:K25"/>
    <mergeCell ref="D37:E37"/>
    <mergeCell ref="F37:G37"/>
    <mergeCell ref="D38:E38"/>
    <mergeCell ref="F38:G38"/>
    <mergeCell ref="H43:K43"/>
    <mergeCell ref="D71:E71"/>
    <mergeCell ref="F71:G71"/>
    <mergeCell ref="H71:I71"/>
    <mergeCell ref="J71:K71"/>
    <mergeCell ref="L71:M71"/>
    <mergeCell ref="N71:O71"/>
    <mergeCell ref="P71:Q71"/>
    <mergeCell ref="R71:S71"/>
    <mergeCell ref="D72:E72"/>
    <mergeCell ref="F72:G72"/>
    <mergeCell ref="H72:I72"/>
    <mergeCell ref="J72:K72"/>
    <mergeCell ref="L72:M72"/>
    <mergeCell ref="D39:E39"/>
    <mergeCell ref="H69:K69"/>
    <mergeCell ref="L69:O69"/>
    <mergeCell ref="P69:S69"/>
    <mergeCell ref="D46:E46"/>
    <mergeCell ref="F46:G46"/>
    <mergeCell ref="L39:M39"/>
    <mergeCell ref="N39:O39"/>
    <mergeCell ref="H46:I46"/>
    <mergeCell ref="J46:K46"/>
    <mergeCell ref="L46:M46"/>
    <mergeCell ref="N46:O46"/>
    <mergeCell ref="P46:Q46"/>
    <mergeCell ref="R46:S46"/>
    <mergeCell ref="H12:K12"/>
    <mergeCell ref="L12:O12"/>
    <mergeCell ref="P12:S12"/>
    <mergeCell ref="U13:Y13"/>
    <mergeCell ref="B14:AJ14"/>
    <mergeCell ref="D9:G9"/>
    <mergeCell ref="H9:K9"/>
    <mergeCell ref="L9:O9"/>
    <mergeCell ref="P9:S9"/>
    <mergeCell ref="D10:G10"/>
    <mergeCell ref="H10:K10"/>
    <mergeCell ref="L10:O10"/>
    <mergeCell ref="P10:S10"/>
    <mergeCell ref="H38:I38"/>
    <mergeCell ref="J38:K38"/>
    <mergeCell ref="D35:E35"/>
    <mergeCell ref="F35:G35"/>
    <mergeCell ref="F21:G21"/>
    <mergeCell ref="D22:E22"/>
    <mergeCell ref="P18:Q18"/>
    <mergeCell ref="R18:S18"/>
    <mergeCell ref="P17:Q17"/>
    <mergeCell ref="R17:S17"/>
    <mergeCell ref="F22:G22"/>
    <mergeCell ref="D23:E23"/>
    <mergeCell ref="F23:G23"/>
    <mergeCell ref="D24:E24"/>
    <mergeCell ref="F24:G24"/>
    <mergeCell ref="D25:E25"/>
    <mergeCell ref="N20:O20"/>
    <mergeCell ref="F27:G27"/>
    <mergeCell ref="D28:E28"/>
    <mergeCell ref="T2:AF2"/>
    <mergeCell ref="U32:AC32"/>
    <mergeCell ref="B3:B4"/>
    <mergeCell ref="D3:G3"/>
    <mergeCell ref="H3:K3"/>
    <mergeCell ref="L3:O3"/>
    <mergeCell ref="P3:S3"/>
    <mergeCell ref="D7:G7"/>
    <mergeCell ref="H7:K7"/>
    <mergeCell ref="L7:O7"/>
    <mergeCell ref="P7:S7"/>
    <mergeCell ref="D8:G8"/>
    <mergeCell ref="H8:K8"/>
    <mergeCell ref="L8:O8"/>
    <mergeCell ref="P8:S8"/>
    <mergeCell ref="D5:G5"/>
    <mergeCell ref="H5:K5"/>
    <mergeCell ref="L5:O5"/>
    <mergeCell ref="P5:S5"/>
    <mergeCell ref="D6:G6"/>
    <mergeCell ref="H6:K6"/>
    <mergeCell ref="L6:O6"/>
    <mergeCell ref="P6:S6"/>
    <mergeCell ref="D12:G12"/>
    <mergeCell ref="B15:B16"/>
    <mergeCell ref="C15:C16"/>
    <mergeCell ref="D15:G15"/>
    <mergeCell ref="H15:K15"/>
    <mergeCell ref="L15:O15"/>
    <mergeCell ref="P15:S15"/>
    <mergeCell ref="D16:G16"/>
    <mergeCell ref="L16:O16"/>
    <mergeCell ref="H16:K16"/>
    <mergeCell ref="L43:O43"/>
    <mergeCell ref="P43:S43"/>
    <mergeCell ref="D43:G43"/>
    <mergeCell ref="D44:E44"/>
    <mergeCell ref="F44:G44"/>
    <mergeCell ref="H44:I44"/>
    <mergeCell ref="J44:K44"/>
    <mergeCell ref="L44:M44"/>
    <mergeCell ref="N44:O44"/>
    <mergeCell ref="P44:Q44"/>
    <mergeCell ref="R44:S44"/>
    <mergeCell ref="D45:E45"/>
    <mergeCell ref="F45:G45"/>
    <mergeCell ref="H45:I45"/>
    <mergeCell ref="J45:K45"/>
    <mergeCell ref="L45:M45"/>
    <mergeCell ref="N45:O45"/>
    <mergeCell ref="P45:Q45"/>
    <mergeCell ref="R45:S45"/>
    <mergeCell ref="F25:G25"/>
    <mergeCell ref="H39:I39"/>
    <mergeCell ref="P16:S16"/>
    <mergeCell ref="F28:G28"/>
    <mergeCell ref="H23:I23"/>
    <mergeCell ref="J23:K23"/>
    <mergeCell ref="H24:I24"/>
    <mergeCell ref="J24:K24"/>
    <mergeCell ref="D32:E32"/>
    <mergeCell ref="F32:G32"/>
    <mergeCell ref="D33:E33"/>
    <mergeCell ref="F33:G33"/>
    <mergeCell ref="H47:I47"/>
    <mergeCell ref="J47:K47"/>
    <mergeCell ref="L47:M47"/>
    <mergeCell ref="N47:O47"/>
    <mergeCell ref="P47:Q47"/>
    <mergeCell ref="R47:S47"/>
    <mergeCell ref="D48:E48"/>
    <mergeCell ref="F48:G48"/>
    <mergeCell ref="H48:I48"/>
    <mergeCell ref="J48:K48"/>
    <mergeCell ref="L48:M48"/>
    <mergeCell ref="N48:O48"/>
    <mergeCell ref="P48:Q48"/>
    <mergeCell ref="R48:S48"/>
    <mergeCell ref="D49:E49"/>
    <mergeCell ref="F49:G49"/>
    <mergeCell ref="H49:I49"/>
    <mergeCell ref="J49:K49"/>
    <mergeCell ref="L49:M49"/>
    <mergeCell ref="N49:O49"/>
    <mergeCell ref="P49:Q49"/>
    <mergeCell ref="R49:S49"/>
    <mergeCell ref="D47:E47"/>
    <mergeCell ref="F47:G47"/>
    <mergeCell ref="D50:E50"/>
    <mergeCell ref="F50:G50"/>
    <mergeCell ref="H50:I50"/>
    <mergeCell ref="J50:K50"/>
    <mergeCell ref="L50:M50"/>
    <mergeCell ref="N50:O50"/>
    <mergeCell ref="P50:Q50"/>
    <mergeCell ref="R50:S50"/>
    <mergeCell ref="D51:E51"/>
    <mergeCell ref="F51:G51"/>
    <mergeCell ref="H51:I51"/>
    <mergeCell ref="J51:K51"/>
    <mergeCell ref="L51:M51"/>
    <mergeCell ref="N51:O51"/>
    <mergeCell ref="P51:Q51"/>
    <mergeCell ref="R51:S51"/>
    <mergeCell ref="D52:E52"/>
    <mergeCell ref="F52:G52"/>
    <mergeCell ref="H52:I52"/>
    <mergeCell ref="J52:K52"/>
    <mergeCell ref="L52:M52"/>
    <mergeCell ref="N52:O52"/>
    <mergeCell ref="P52:Q52"/>
    <mergeCell ref="R52:S52"/>
    <mergeCell ref="D53:E53"/>
    <mergeCell ref="F53:G53"/>
    <mergeCell ref="H53:I53"/>
    <mergeCell ref="J53:K53"/>
    <mergeCell ref="L53:M53"/>
    <mergeCell ref="N53:O53"/>
    <mergeCell ref="P53:Q53"/>
    <mergeCell ref="R53:S53"/>
    <mergeCell ref="D54:E54"/>
    <mergeCell ref="F54:G54"/>
    <mergeCell ref="H54:I54"/>
    <mergeCell ref="J54:K54"/>
    <mergeCell ref="L54:M54"/>
    <mergeCell ref="N54:O54"/>
    <mergeCell ref="P54:Q54"/>
    <mergeCell ref="R54:S54"/>
    <mergeCell ref="D55:E55"/>
    <mergeCell ref="F55:G55"/>
    <mergeCell ref="H55:I55"/>
    <mergeCell ref="J55:K55"/>
    <mergeCell ref="L55:M55"/>
    <mergeCell ref="N55:O55"/>
    <mergeCell ref="P55:Q55"/>
    <mergeCell ref="R55:S55"/>
    <mergeCell ref="D56:E56"/>
    <mergeCell ref="F56:G56"/>
    <mergeCell ref="H56:I56"/>
    <mergeCell ref="J56:K56"/>
    <mergeCell ref="L56:M56"/>
    <mergeCell ref="N56:O56"/>
    <mergeCell ref="P56:Q56"/>
    <mergeCell ref="R56:S56"/>
    <mergeCell ref="D57:E57"/>
    <mergeCell ref="F57:G57"/>
    <mergeCell ref="H57:I57"/>
    <mergeCell ref="J57:K57"/>
    <mergeCell ref="L57:M57"/>
    <mergeCell ref="N57:O57"/>
    <mergeCell ref="P57:Q57"/>
    <mergeCell ref="R57:S57"/>
    <mergeCell ref="D58:E58"/>
    <mergeCell ref="F58:G58"/>
    <mergeCell ref="H58:I58"/>
    <mergeCell ref="J58:K58"/>
    <mergeCell ref="L58:M58"/>
    <mergeCell ref="N58:O58"/>
    <mergeCell ref="P58:Q58"/>
    <mergeCell ref="R58:S58"/>
    <mergeCell ref="D59:E59"/>
    <mergeCell ref="F59:G59"/>
    <mergeCell ref="H59:I59"/>
    <mergeCell ref="J59:K59"/>
    <mergeCell ref="L59:M59"/>
    <mergeCell ref="N59:O59"/>
    <mergeCell ref="P59:Q59"/>
    <mergeCell ref="R59:S59"/>
    <mergeCell ref="D60:E60"/>
    <mergeCell ref="F60:G60"/>
    <mergeCell ref="H60:I60"/>
    <mergeCell ref="J60:K60"/>
    <mergeCell ref="L60:M60"/>
    <mergeCell ref="N60:O60"/>
    <mergeCell ref="P60:Q60"/>
    <mergeCell ref="R60:S60"/>
    <mergeCell ref="D61:E61"/>
    <mergeCell ref="F61:G61"/>
    <mergeCell ref="H61:I61"/>
    <mergeCell ref="J61:K61"/>
    <mergeCell ref="L61:M61"/>
    <mergeCell ref="N61:O61"/>
    <mergeCell ref="P61:Q61"/>
    <mergeCell ref="R61:S61"/>
    <mergeCell ref="D62:E62"/>
    <mergeCell ref="F62:G62"/>
    <mergeCell ref="H62:I62"/>
    <mergeCell ref="J62:K62"/>
    <mergeCell ref="L62:M62"/>
    <mergeCell ref="N62:O62"/>
    <mergeCell ref="P62:Q62"/>
    <mergeCell ref="R62:S62"/>
    <mergeCell ref="D63:E63"/>
    <mergeCell ref="F63:G63"/>
    <mergeCell ref="H63:I63"/>
    <mergeCell ref="J63:K63"/>
    <mergeCell ref="L63:M63"/>
    <mergeCell ref="N63:O63"/>
    <mergeCell ref="P63:Q63"/>
    <mergeCell ref="R63:S63"/>
    <mergeCell ref="D64:E64"/>
    <mergeCell ref="F64:G64"/>
    <mergeCell ref="H64:I64"/>
    <mergeCell ref="J64:K64"/>
    <mergeCell ref="L64:M64"/>
    <mergeCell ref="N64:O64"/>
    <mergeCell ref="P64:Q64"/>
    <mergeCell ref="R64:S64"/>
    <mergeCell ref="D65:E65"/>
    <mergeCell ref="F65:G65"/>
    <mergeCell ref="H65:I65"/>
    <mergeCell ref="J65:K65"/>
    <mergeCell ref="L65:M65"/>
    <mergeCell ref="N65:O65"/>
    <mergeCell ref="P65:Q65"/>
    <mergeCell ref="R65:S65"/>
    <mergeCell ref="T69:W69"/>
    <mergeCell ref="D69:G69"/>
    <mergeCell ref="V67:W67"/>
    <mergeCell ref="T67:U67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L101:M101"/>
    <mergeCell ref="N101:O101"/>
    <mergeCell ref="P101:Q101"/>
    <mergeCell ref="R101:S101"/>
    <mergeCell ref="D73:E73"/>
    <mergeCell ref="F73:G73"/>
    <mergeCell ref="H73:I73"/>
    <mergeCell ref="J73:K73"/>
    <mergeCell ref="L73:M73"/>
    <mergeCell ref="N73:O73"/>
    <mergeCell ref="AC122:AD122"/>
    <mergeCell ref="D66:E66"/>
    <mergeCell ref="F66:G66"/>
    <mergeCell ref="H66:I66"/>
    <mergeCell ref="J66:K66"/>
    <mergeCell ref="L66:M66"/>
    <mergeCell ref="N66:O66"/>
    <mergeCell ref="P66:Q66"/>
    <mergeCell ref="R66:S66"/>
    <mergeCell ref="D70:G70"/>
    <mergeCell ref="H70:K70"/>
    <mergeCell ref="L70:O70"/>
    <mergeCell ref="P70:S70"/>
    <mergeCell ref="T70:W70"/>
    <mergeCell ref="H100:I100"/>
    <mergeCell ref="J100:K100"/>
    <mergeCell ref="L100:M100"/>
    <mergeCell ref="N100:O100"/>
    <mergeCell ref="P100:Q100"/>
    <mergeCell ref="R100:S100"/>
    <mergeCell ref="D101:E101"/>
    <mergeCell ref="F101:G101"/>
    <mergeCell ref="P73:Q73"/>
    <mergeCell ref="R73:S73"/>
    <mergeCell ref="D74:E74"/>
    <mergeCell ref="F74:G74"/>
    <mergeCell ref="H74:I74"/>
    <mergeCell ref="J74:K74"/>
    <mergeCell ref="L74:M74"/>
    <mergeCell ref="N74:O74"/>
    <mergeCell ref="P74:Q74"/>
    <mergeCell ref="R74:S74"/>
  </mergeCells>
  <phoneticPr fontId="34" type="noConversion"/>
  <conditionalFormatting sqref="D104 F104 J104 L104 N104 P104 R104 D126:S131">
    <cfRule type="cellIs" dxfId="15" priority="17" operator="equal">
      <formula>"C"</formula>
    </cfRule>
    <cfRule type="cellIs" dxfId="14" priority="18" operator="equal">
      <formula>"X"</formula>
    </cfRule>
  </conditionalFormatting>
  <conditionalFormatting sqref="D132 F132 J132 L132 N132 P132 R132">
    <cfRule type="cellIs" dxfId="13" priority="9" operator="equal">
      <formula>"C"</formula>
    </cfRule>
    <cfRule type="cellIs" dxfId="12" priority="10" operator="equal">
      <formula>"X"</formula>
    </cfRule>
  </conditionalFormatting>
  <conditionalFormatting sqref="D163 F163 J163 L163 N163 P163 R163">
    <cfRule type="cellIs" dxfId="11" priority="5" operator="equal">
      <formula>"C"</formula>
    </cfRule>
    <cfRule type="cellIs" dxfId="10" priority="6" operator="equal">
      <formula>"X"</formula>
    </cfRule>
  </conditionalFormatting>
  <conditionalFormatting sqref="D17:S39 D44:S67 D71:W94 D98:S103 H104 D105:S105 D106 F106 H106 J106 L106 N106 P106 R106 D107:S109 D110 F110 H110 J110 L110 N110 P110 R110 D111:S122">
    <cfRule type="cellIs" dxfId="9" priority="23" operator="equal">
      <formula>"C"</formula>
    </cfRule>
    <cfRule type="cellIs" dxfId="8" priority="24" operator="equal">
      <formula>"X"</formula>
    </cfRule>
  </conditionalFormatting>
  <conditionalFormatting sqref="D156:W162">
    <cfRule type="cellIs" dxfId="7" priority="3" operator="equal">
      <formula>"C"</formula>
    </cfRule>
    <cfRule type="cellIs" dxfId="6" priority="4" operator="equal">
      <formula>"X"</formula>
    </cfRule>
  </conditionalFormatting>
  <conditionalFormatting sqref="H132 D133:S133 D134 F134 H134 J134 L134 N134 P134 R134 D135:S137 D138 F138 H138 J138 L138 N138 P138 R138 D139:S151">
    <cfRule type="cellIs" dxfId="5" priority="11" operator="equal">
      <formula>"C"</formula>
    </cfRule>
    <cfRule type="cellIs" dxfId="4" priority="12" operator="equal">
      <formula>"X"</formula>
    </cfRule>
  </conditionalFormatting>
  <conditionalFormatting sqref="H163 D164:W164 D165 F165 H165 J165 L165 N165 P165 R165 T165 V165 D166:W168 D169 F169 H169 J169 L169 N169 P169 R169 T169 V169 D170:W181">
    <cfRule type="cellIs" dxfId="3" priority="7" operator="equal">
      <formula>"C"</formula>
    </cfRule>
    <cfRule type="cellIs" dxfId="2" priority="8" operator="equal">
      <formula>"X"</formula>
    </cfRule>
  </conditionalFormatting>
  <conditionalFormatting sqref="T163 V163">
    <cfRule type="cellIs" dxfId="1" priority="1" operator="equal">
      <formula>"C"</formula>
    </cfRule>
    <cfRule type="cellIs" dxfId="0" priority="2" operator="equal">
      <formula>"X"</formula>
    </cfRule>
  </conditionalFormatting>
  <dataValidations count="3">
    <dataValidation allowBlank="1" showInputMessage="1" showErrorMessage="1" prompt="Type the year in this cell." sqref="AG2:AJ2" xr:uid="{DD4C1D02-A97F-4ED2-B627-F0B5A9ED0CE8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1E3ACFDF-A83E-42B8-9BA9-FC0BC7CFB8D4}"/>
    <dataValidation allowBlank="1" showInputMessage="1" showErrorMessage="1" promptTitle="Shift Work Calendar" sqref="A2" xr:uid="{31D40DC9-D17D-4D33-9D1F-465775D8B152}"/>
  </dataValidations>
  <printOptions horizontalCentered="1" verticalCentered="1"/>
  <pageMargins left="0.3" right="0.3" top="0.3" bottom="0.3" header="0.3" footer="0.3"/>
  <pageSetup scale="34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301B405-6B2E-43B0-9121-0E0995D44CE0}">
          <x14:formula1>
            <xm:f>Sheet1!$B$48:$B$53</xm:f>
          </x14:formula1>
          <xm:sqref>D9:S13</xm:sqref>
        </x14:dataValidation>
        <x14:dataValidation type="list" allowBlank="1" showInputMessage="1" showErrorMessage="1" xr:uid="{E93BEF7F-045F-4E7F-A0D6-B2042AF9168F}">
          <x14:formula1>
            <xm:f>Sheet1!$B$13:$B$18</xm:f>
          </x14:formula1>
          <xm:sqref>D6:S6</xm:sqref>
        </x14:dataValidation>
        <x14:dataValidation type="list" allowBlank="1" showInputMessage="1" showErrorMessage="1" xr:uid="{AFFF332D-1103-4BC0-9FDE-F0CF6182305A}">
          <x14:formula1>
            <xm:f>Sheet1!$B$39:$B$46</xm:f>
          </x14:formula1>
          <xm:sqref>D5:S5</xm:sqref>
        </x14:dataValidation>
        <x14:dataValidation type="list" allowBlank="1" showInputMessage="1" showErrorMessage="1" xr:uid="{C6FCB2F7-F3E1-4278-98C9-171C77CB4668}">
          <x14:formula1>
            <xm:f>Sheet1!$B$20:$B$25</xm:f>
          </x14:formula1>
          <xm:sqref>D7:S7</xm:sqref>
        </x14:dataValidation>
        <x14:dataValidation type="list" allowBlank="1" showInputMessage="1" showErrorMessage="1" xr:uid="{1C39B4D1-36CF-4287-903E-F53E3B684FAD}">
          <x14:formula1>
            <xm:f>Sheet1!$B$3:$B$11</xm:f>
          </x14:formula1>
          <xm:sqref>D8:S8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0DA5-F8F3-4F33-9085-E9887507CCFA}">
  <sheetPr>
    <pageSetUpPr fitToPage="1"/>
  </sheetPr>
  <dimension ref="A1:AO53"/>
  <sheetViews>
    <sheetView showGridLines="0" topLeftCell="A31" zoomScaleNormal="100" workbookViewId="0">
      <selection activeCell="K56" sqref="K56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26" width="3.77734375" style="3" customWidth="1"/>
    <col min="27" max="41" width="0" style="3" hidden="1" customWidth="1"/>
    <col min="42" max="16384" width="8.88671875" style="3" hidden="1"/>
  </cols>
  <sheetData>
    <row r="1" spans="2:25" ht="4.9000000000000004" customHeight="1" x14ac:dyDescent="0.3"/>
    <row r="2" spans="2:25" s="59" customFormat="1" ht="60" customHeight="1" x14ac:dyDescent="0.8">
      <c r="B2" s="62" t="s">
        <v>251</v>
      </c>
      <c r="C2" s="62"/>
      <c r="D2" s="63"/>
      <c r="E2" s="63"/>
      <c r="F2" s="63"/>
      <c r="G2" s="63"/>
      <c r="H2" s="63"/>
      <c r="I2" s="63"/>
      <c r="J2" s="63"/>
      <c r="K2" s="63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2:25" customFormat="1" ht="19.899999999999999" customHeight="1" x14ac:dyDescent="0.3">
      <c r="B3" s="70"/>
      <c r="C3" s="70"/>
    </row>
    <row r="4" spans="2:25" customFormat="1" ht="18.95" customHeight="1" x14ac:dyDescent="0.3">
      <c r="B4" s="70"/>
      <c r="C4" s="70"/>
    </row>
    <row r="5" spans="2:25" customFormat="1" ht="19.899999999999999" customHeight="1" x14ac:dyDescent="0.3">
      <c r="B5" s="70" t="s">
        <v>252</v>
      </c>
      <c r="C5" s="70"/>
    </row>
    <row r="6" spans="2:25" s="75" customFormat="1" ht="19.899999999999999" hidden="1" customHeight="1" x14ac:dyDescent="0.3">
      <c r="B6" s="211" t="e">
        <f>DATE(CalendarYear,1,1)</f>
        <v>#REF!</v>
      </c>
      <c r="C6" s="82"/>
      <c r="D6" s="213" t="s">
        <v>5</v>
      </c>
      <c r="E6" s="214"/>
      <c r="F6" s="214"/>
      <c r="G6" s="214"/>
      <c r="H6" s="213" t="s">
        <v>6</v>
      </c>
      <c r="I6" s="214"/>
      <c r="J6" s="214"/>
      <c r="K6" s="214"/>
      <c r="L6" s="213" t="s">
        <v>7</v>
      </c>
      <c r="M6" s="214"/>
      <c r="N6" s="214"/>
      <c r="O6" s="214"/>
      <c r="P6" s="213" t="s">
        <v>8</v>
      </c>
      <c r="Q6" s="214"/>
      <c r="R6" s="214"/>
      <c r="S6" s="214"/>
      <c r="T6" s="57" t="e">
        <f>IF(DAY(JanSun1)=1,IF(AND(YEAR(JanSun1+14)=CalendarYear,MONTH(JanSun1+14)=1),JanSun1+14,""),IF(AND(YEAR(JanSun1+21)=CalendarYear,MONTH(JanSun1+21)=1),JanSun1+21,""))</f>
        <v>#REF!</v>
      </c>
      <c r="U6" s="57" t="e">
        <f>IF(DAY(JanSun1)=1,IF(AND(YEAR(JanSun1+15)=CalendarYear,MONTH(JanSun1+15)=1),JanSun1+15,""),IF(AND(YEAR(JanSun1+22)=CalendarYear,MONTH(JanSun1+22)=1),JanSun1+22,""))</f>
        <v>#REF!</v>
      </c>
      <c r="V6" s="57" t="e">
        <f>IF(DAY(JanSun1)=1,IF(AND(YEAR(JanSun1+16)=CalendarYear,MONTH(JanSun1+16)=1),JanSun1+16,""),IF(AND(YEAR(JanSun1+23)=CalendarYear,MONTH(JanSun1+23)=1),JanSun1+23,""))</f>
        <v>#REF!</v>
      </c>
      <c r="W6" s="57" t="e">
        <f>IF(DAY(JanSun1)=1,IF(AND(YEAR(JanSun1+17)=CalendarYear,MONTH(JanSun1+17)=1),JanSun1+17,""),IF(AND(YEAR(JanSun1+24)=CalendarYear,MONTH(JanSun1+24)=1),JanSun1+24,""))</f>
        <v>#REF!</v>
      </c>
      <c r="X6" s="57" t="e">
        <f>IF(DAY(JanSun1)=1,IF(AND(YEAR(JanSun1+18)=CalendarYear,MONTH(JanSun1+18)=1),JanSun1+18,""),IF(AND(YEAR(JanSun1+25)=CalendarYear,MONTH(JanSun1+25)=1),JanSun1+25,""))</f>
        <v>#REF!</v>
      </c>
      <c r="Y6" s="57" t="e">
        <f>IF(DAY(JanSun1)=1,IF(AND(YEAR(JanSun1+19)=CalendarYear,MONTH(JanSun1+19)=1),JanSun1+19,""),IF(AND(YEAR(JanSun1+26)=CalendarYear,MONTH(JanSun1+26)=1),JanSun1+26,""))</f>
        <v>#REF!</v>
      </c>
    </row>
    <row r="7" spans="2:25" s="75" customFormat="1" ht="19.899999999999999" hidden="1" customHeight="1" thickBot="1" x14ac:dyDescent="0.35">
      <c r="B7" s="239"/>
      <c r="C7" s="90"/>
      <c r="D7" s="87" t="s">
        <v>9</v>
      </c>
      <c r="E7" s="80" t="s">
        <v>10</v>
      </c>
      <c r="F7" s="80" t="s">
        <v>11</v>
      </c>
      <c r="G7" s="80" t="s">
        <v>12</v>
      </c>
      <c r="H7" s="87" t="s">
        <v>9</v>
      </c>
      <c r="I7" s="80" t="s">
        <v>10</v>
      </c>
      <c r="J7" s="80" t="s">
        <v>11</v>
      </c>
      <c r="K7" s="80" t="s">
        <v>12</v>
      </c>
      <c r="L7" s="87" t="s">
        <v>9</v>
      </c>
      <c r="M7" s="80" t="s">
        <v>10</v>
      </c>
      <c r="N7" s="80" t="s">
        <v>11</v>
      </c>
      <c r="O7" s="80" t="s">
        <v>12</v>
      </c>
      <c r="P7" s="87" t="s">
        <v>9</v>
      </c>
      <c r="Q7" s="80" t="s">
        <v>10</v>
      </c>
      <c r="R7" s="80" t="s">
        <v>11</v>
      </c>
      <c r="S7" s="80" t="s">
        <v>12</v>
      </c>
      <c r="T7" s="58" t="s">
        <v>14</v>
      </c>
      <c r="U7" s="58" t="s">
        <v>15</v>
      </c>
      <c r="V7" s="58" t="s">
        <v>9</v>
      </c>
      <c r="W7" s="58" t="s">
        <v>10</v>
      </c>
      <c r="X7" s="58" t="s">
        <v>11</v>
      </c>
      <c r="Y7" s="58" t="s">
        <v>16</v>
      </c>
    </row>
    <row r="8" spans="2:25" ht="19.899999999999999" hidden="1" customHeight="1" thickBot="1" x14ac:dyDescent="0.35">
      <c r="B8" s="83"/>
      <c r="C8" s="92"/>
      <c r="D8" s="193"/>
      <c r="E8" s="194"/>
      <c r="F8" s="194"/>
      <c r="G8" s="194"/>
      <c r="H8" s="193"/>
      <c r="I8" s="194"/>
      <c r="J8" s="194"/>
      <c r="K8" s="194"/>
      <c r="L8" s="193"/>
      <c r="M8" s="194"/>
      <c r="N8" s="194"/>
      <c r="O8" s="194"/>
      <c r="P8" s="193"/>
      <c r="Q8" s="194"/>
      <c r="R8" s="194"/>
      <c r="S8" s="194"/>
      <c r="T8" s="6" t="e">
        <f t="shared" ref="T8:Y8" ca="1" si="0">IF(OR(NOT(ISNUMBER(T6)),T6&lt;Job1_StartDate),"",IF(MID(Job1_Pattern,MOD(T6-Job1_StartDate,LEN(Job1_Pattern))+1,1)=Job1_Shift1_Code,1,IF(MID(Job1_Pattern,MOD(T6-Job1_StartDate,LEN(Job1_Pattern))+1,1)=Job1_Shift2_Code,2,IF(MID(Job1_Pattern,MOD(T6-Job1_StartDate,LEN(Job1_Pattern))+1,1)=Job1_Shift3_Code,3,""))))</f>
        <v>#REF!</v>
      </c>
      <c r="U8" s="6" t="e">
        <f t="shared" ca="1" si="0"/>
        <v>#REF!</v>
      </c>
      <c r="V8" s="6" t="e">
        <f t="shared" ca="1" si="0"/>
        <v>#REF!</v>
      </c>
      <c r="W8" s="6" t="e">
        <f t="shared" ca="1" si="0"/>
        <v>#REF!</v>
      </c>
      <c r="X8" s="6" t="e">
        <f t="shared" ca="1" si="0"/>
        <v>#REF!</v>
      </c>
      <c r="Y8" s="6" t="e">
        <f t="shared" ca="1" si="0"/>
        <v>#REF!</v>
      </c>
    </row>
    <row r="9" spans="2:25" ht="19.899999999999999" hidden="1" customHeight="1" thickBot="1" x14ac:dyDescent="0.35">
      <c r="B9" s="84"/>
      <c r="C9" s="91"/>
      <c r="D9" s="193"/>
      <c r="E9" s="194"/>
      <c r="F9" s="194"/>
      <c r="G9" s="194"/>
      <c r="H9" s="193"/>
      <c r="I9" s="194"/>
      <c r="J9" s="194"/>
      <c r="K9" s="194"/>
      <c r="L9" s="193"/>
      <c r="M9" s="194"/>
      <c r="N9" s="194"/>
      <c r="O9" s="194"/>
      <c r="P9" s="193"/>
      <c r="Q9" s="194"/>
      <c r="R9" s="194"/>
      <c r="S9" s="194"/>
      <c r="T9" s="7" t="e">
        <f t="shared" ref="T9:Y9" ca="1" si="1">IF(OR(NOT(ISNUMBER(T6)),T6&lt;Job2_StartDate),"",IF(MID(Job2_Pattern,MOD(T6-Job2_StartDate,LEN(Job2_Pattern))+1,1)=Job2_Shift1_Code,1,IF(MID(Job2_Pattern,MOD(T6-Job2_StartDate,LEN(Job2_Pattern))+1,1)=Job2_Shift2_Code,2,IF(MID(Job2_Pattern,MOD(T6-Job2_StartDate,LEN(Job2_Pattern))+1,1)=Job2_Shift3_Code,3,""))))</f>
        <v>#REF!</v>
      </c>
      <c r="U9" s="7" t="e">
        <f t="shared" ca="1" si="1"/>
        <v>#REF!</v>
      </c>
      <c r="V9" s="7" t="e">
        <f t="shared" ca="1" si="1"/>
        <v>#REF!</v>
      </c>
      <c r="W9" s="7" t="e">
        <f t="shared" ca="1" si="1"/>
        <v>#REF!</v>
      </c>
      <c r="X9" s="7" t="e">
        <f t="shared" ca="1" si="1"/>
        <v>#REF!</v>
      </c>
      <c r="Y9" s="7" t="e">
        <f t="shared" ca="1" si="1"/>
        <v>#REF!</v>
      </c>
    </row>
    <row r="10" spans="2:25" ht="19.899999999999999" hidden="1" customHeight="1" thickBot="1" x14ac:dyDescent="0.35">
      <c r="B10" s="84"/>
      <c r="C10" s="91"/>
      <c r="D10" s="193"/>
      <c r="E10" s="194"/>
      <c r="F10" s="194"/>
      <c r="G10" s="194"/>
      <c r="H10" s="193"/>
      <c r="I10" s="194"/>
      <c r="J10" s="194"/>
      <c r="K10" s="194"/>
      <c r="L10" s="193"/>
      <c r="M10" s="194"/>
      <c r="N10" s="194"/>
      <c r="O10" s="194"/>
      <c r="P10" s="193"/>
      <c r="Q10" s="194"/>
      <c r="R10" s="194"/>
      <c r="S10" s="194"/>
      <c r="T10" s="7"/>
      <c r="U10" s="7"/>
      <c r="V10" s="7"/>
      <c r="W10" s="7"/>
      <c r="X10" s="7"/>
      <c r="Y10" s="7"/>
    </row>
    <row r="11" spans="2:25" ht="19.899999999999999" hidden="1" customHeight="1" thickBot="1" x14ac:dyDescent="0.35">
      <c r="B11" s="84"/>
      <c r="C11" s="91"/>
      <c r="D11" s="193"/>
      <c r="E11" s="194"/>
      <c r="F11" s="194"/>
      <c r="G11" s="194"/>
      <c r="H11" s="193"/>
      <c r="I11" s="194"/>
      <c r="J11" s="194"/>
      <c r="K11" s="194"/>
      <c r="L11" s="193"/>
      <c r="M11" s="194"/>
      <c r="N11" s="194"/>
      <c r="O11" s="194"/>
      <c r="P11" s="193"/>
      <c r="Q11" s="194"/>
      <c r="R11" s="194"/>
      <c r="S11" s="194"/>
      <c r="T11" s="7"/>
      <c r="U11" s="7"/>
      <c r="V11" s="7"/>
      <c r="W11" s="7"/>
      <c r="X11" s="7"/>
      <c r="Y11" s="7"/>
    </row>
    <row r="12" spans="2:25" ht="19.899999999999999" hidden="1" customHeight="1" thickBot="1" x14ac:dyDescent="0.35">
      <c r="B12" s="84"/>
      <c r="C12" s="91"/>
      <c r="D12" s="193"/>
      <c r="E12" s="194"/>
      <c r="F12" s="194"/>
      <c r="G12" s="194"/>
      <c r="H12" s="193"/>
      <c r="I12" s="194"/>
      <c r="J12" s="194"/>
      <c r="K12" s="194"/>
      <c r="L12" s="193"/>
      <c r="M12" s="194"/>
      <c r="N12" s="194"/>
      <c r="O12" s="194"/>
      <c r="P12" s="193"/>
      <c r="Q12" s="194"/>
      <c r="R12" s="194"/>
      <c r="S12" s="194"/>
      <c r="T12" s="7"/>
      <c r="U12" s="7"/>
      <c r="V12" s="7"/>
      <c r="W12" s="7"/>
      <c r="X12" s="7"/>
      <c r="Y12" s="7"/>
    </row>
    <row r="13" spans="2:25" ht="19.899999999999999" hidden="1" customHeight="1" thickBot="1" x14ac:dyDescent="0.35">
      <c r="B13" s="84"/>
      <c r="C13" s="91"/>
      <c r="D13" s="193"/>
      <c r="E13" s="194"/>
      <c r="F13" s="194"/>
      <c r="G13" s="194"/>
      <c r="H13" s="193"/>
      <c r="I13" s="194"/>
      <c r="J13" s="194"/>
      <c r="K13" s="194"/>
      <c r="L13" s="193"/>
      <c r="M13" s="194"/>
      <c r="N13" s="194"/>
      <c r="O13" s="194"/>
      <c r="P13" s="193"/>
      <c r="Q13" s="194"/>
      <c r="R13" s="194"/>
      <c r="S13" s="194"/>
      <c r="T13" s="7"/>
      <c r="U13" s="7"/>
      <c r="V13" s="7"/>
      <c r="W13" s="7"/>
      <c r="X13" s="7"/>
      <c r="Y13" s="7"/>
    </row>
    <row r="14" spans="2:25" ht="19.899999999999999" hidden="1" customHeight="1" thickBot="1" x14ac:dyDescent="0.35">
      <c r="B14" s="85"/>
      <c r="C14" s="91"/>
      <c r="D14" s="193"/>
      <c r="E14" s="194"/>
      <c r="F14" s="194"/>
      <c r="G14" s="194"/>
      <c r="H14" s="193"/>
      <c r="I14" s="194"/>
      <c r="J14" s="194"/>
      <c r="K14" s="194"/>
      <c r="L14" s="193"/>
      <c r="M14" s="194"/>
      <c r="N14" s="194"/>
      <c r="O14" s="194"/>
      <c r="P14" s="193"/>
      <c r="Q14" s="194"/>
      <c r="R14" s="194"/>
      <c r="S14" s="194"/>
      <c r="T14" s="7" t="e">
        <f t="shared" ref="T14:Y14" ca="1" si="2">IF(OR(NOT(ISNUMBER(T6)),T6&lt;Job3_StartDate),"",IF(MID(Job3_Pattern,MOD(T6-Job3_StartDate,LEN(Job3_Pattern))+1,1)=Job3_Shift1_Code,1,IF(MID(Job3_Pattern,MOD(T6-Job3_StartDate,LEN(Job3_Pattern))+1,1)=Job3_Shift2_Code,2,IF(MID(Job3_Pattern,MOD(T6-Job3_StartDate,LEN(Job3_Pattern))+1,1)=Job3_Shift3_Code,3,""))))</f>
        <v>#REF!</v>
      </c>
      <c r="U14" s="7" t="e">
        <f t="shared" ca="1" si="2"/>
        <v>#REF!</v>
      </c>
      <c r="V14" s="7" t="e">
        <f t="shared" ca="1" si="2"/>
        <v>#REF!</v>
      </c>
      <c r="W14" s="7" t="e">
        <f t="shared" ca="1" si="2"/>
        <v>#REF!</v>
      </c>
      <c r="X14" s="7" t="e">
        <f t="shared" ca="1" si="2"/>
        <v>#REF!</v>
      </c>
      <c r="Y14" s="7" t="e">
        <f t="shared" ca="1" si="2"/>
        <v>#REF!</v>
      </c>
    </row>
    <row r="15" spans="2:25" ht="19.899999999999999" customHeight="1" thickBot="1" x14ac:dyDescent="0.35">
      <c r="B15" s="74"/>
      <c r="C15" s="74"/>
      <c r="V15" s="3" t="s">
        <v>253</v>
      </c>
    </row>
    <row r="16" spans="2:25" s="76" customFormat="1" ht="19.899999999999999" customHeight="1" x14ac:dyDescent="0.3">
      <c r="B16" s="240" t="e">
        <f>DATE(CalendarYear,2,1)</f>
        <v>#REF!</v>
      </c>
      <c r="C16" s="228" t="s">
        <v>17</v>
      </c>
      <c r="D16" s="213" t="s">
        <v>5</v>
      </c>
      <c r="E16" s="214"/>
      <c r="F16" s="214"/>
      <c r="G16" s="214"/>
      <c r="H16" s="213" t="s">
        <v>6</v>
      </c>
      <c r="I16" s="214"/>
      <c r="J16" s="214"/>
      <c r="K16" s="214"/>
      <c r="L16" s="213" t="s">
        <v>7</v>
      </c>
      <c r="M16" s="214"/>
      <c r="N16" s="214"/>
      <c r="O16" s="214"/>
      <c r="P16" s="213" t="s">
        <v>8</v>
      </c>
      <c r="Q16" s="214"/>
      <c r="R16" s="214"/>
      <c r="S16" s="214"/>
      <c r="T16" s="89"/>
      <c r="U16" s="9"/>
      <c r="V16" s="9"/>
      <c r="W16" s="9"/>
      <c r="X16" s="9"/>
      <c r="Y16" s="9"/>
    </row>
    <row r="17" spans="2:25" s="76" customFormat="1" ht="19.899999999999999" customHeight="1" x14ac:dyDescent="0.3">
      <c r="B17" s="239"/>
      <c r="C17" s="228"/>
      <c r="D17" s="87" t="s">
        <v>9</v>
      </c>
      <c r="E17" s="80" t="s">
        <v>10</v>
      </c>
      <c r="F17" s="80" t="s">
        <v>11</v>
      </c>
      <c r="G17" s="80" t="s">
        <v>12</v>
      </c>
      <c r="H17" s="298" t="s">
        <v>18</v>
      </c>
      <c r="I17" s="299"/>
      <c r="J17" s="299"/>
      <c r="K17" s="299"/>
      <c r="L17" s="310" t="s">
        <v>19</v>
      </c>
      <c r="M17" s="311"/>
      <c r="N17" s="311"/>
      <c r="O17" s="311"/>
      <c r="P17" s="310" t="s">
        <v>20</v>
      </c>
      <c r="Q17" s="311"/>
      <c r="R17" s="311"/>
      <c r="S17" s="311"/>
      <c r="T17" s="79"/>
      <c r="U17" s="10"/>
      <c r="V17" s="10"/>
      <c r="W17" s="10"/>
      <c r="X17" s="10"/>
      <c r="Y17" s="10"/>
    </row>
    <row r="18" spans="2:25" ht="19.899999999999999" customHeight="1" x14ac:dyDescent="0.3">
      <c r="B18" s="83" t="s">
        <v>21</v>
      </c>
      <c r="C18" s="92" t="s">
        <v>22</v>
      </c>
      <c r="D18" s="117"/>
      <c r="E18" s="118"/>
      <c r="F18" s="118"/>
      <c r="G18" s="118"/>
      <c r="H18" s="379"/>
      <c r="I18" s="380"/>
      <c r="J18" s="380"/>
      <c r="K18" s="380"/>
      <c r="L18" s="307"/>
      <c r="M18" s="307"/>
      <c r="N18" s="307"/>
      <c r="O18" s="307"/>
      <c r="P18" s="307"/>
      <c r="Q18" s="307"/>
      <c r="R18" s="307"/>
      <c r="S18" s="307"/>
      <c r="T18" s="86"/>
      <c r="U18" s="6"/>
      <c r="V18" s="6"/>
      <c r="W18" s="6"/>
      <c r="X18" s="6"/>
      <c r="Y18" s="6"/>
    </row>
    <row r="19" spans="2:25" ht="19.899999999999999" customHeight="1" x14ac:dyDescent="0.3">
      <c r="B19" s="84" t="s">
        <v>23</v>
      </c>
      <c r="C19" s="91" t="s">
        <v>24</v>
      </c>
      <c r="D19" s="379"/>
      <c r="E19" s="380"/>
      <c r="F19" s="380"/>
      <c r="G19" s="380"/>
      <c r="H19" s="379"/>
      <c r="I19" s="380"/>
      <c r="J19" s="380"/>
      <c r="K19" s="380"/>
      <c r="L19" s="307"/>
      <c r="M19" s="307"/>
      <c r="N19" s="307"/>
      <c r="O19" s="307"/>
      <c r="P19" s="307"/>
      <c r="Q19" s="307"/>
      <c r="R19" s="307"/>
      <c r="S19" s="307"/>
      <c r="T19" s="81"/>
      <c r="U19" s="7"/>
      <c r="V19" s="7"/>
      <c r="W19" s="7"/>
      <c r="X19" s="7"/>
      <c r="Y19" s="7"/>
    </row>
    <row r="20" spans="2:25" ht="19.899999999999999" customHeight="1" x14ac:dyDescent="0.3">
      <c r="B20" s="84" t="s">
        <v>25</v>
      </c>
      <c r="C20" s="91" t="s">
        <v>26</v>
      </c>
      <c r="D20" s="379"/>
      <c r="E20" s="380"/>
      <c r="F20" s="380"/>
      <c r="G20" s="380"/>
      <c r="H20" s="379"/>
      <c r="I20" s="380"/>
      <c r="J20" s="380"/>
      <c r="K20" s="380"/>
      <c r="L20" s="307"/>
      <c r="M20" s="307"/>
      <c r="N20" s="307"/>
      <c r="O20" s="307"/>
      <c r="P20" s="307"/>
      <c r="Q20" s="307"/>
      <c r="R20" s="307"/>
      <c r="S20" s="307"/>
      <c r="T20" s="81"/>
      <c r="U20" s="7"/>
      <c r="V20" s="7"/>
      <c r="W20" s="7"/>
      <c r="X20" s="7"/>
      <c r="Y20" s="7"/>
    </row>
    <row r="21" spans="2:25" ht="19.899999999999999" customHeight="1" x14ac:dyDescent="0.3">
      <c r="B21" s="84" t="s">
        <v>27</v>
      </c>
      <c r="C21" s="91" t="s">
        <v>28</v>
      </c>
      <c r="D21" s="379"/>
      <c r="E21" s="380"/>
      <c r="F21" s="380"/>
      <c r="G21" s="380"/>
      <c r="H21" s="379"/>
      <c r="I21" s="380"/>
      <c r="J21" s="380"/>
      <c r="K21" s="380"/>
      <c r="L21" s="307"/>
      <c r="M21" s="307"/>
      <c r="N21" s="307"/>
      <c r="O21" s="307"/>
      <c r="P21" s="307"/>
      <c r="Q21" s="307"/>
      <c r="R21" s="307"/>
      <c r="S21" s="307"/>
      <c r="T21" s="81"/>
      <c r="U21" s="7"/>
      <c r="V21" s="7"/>
      <c r="W21" s="7"/>
      <c r="X21" s="7"/>
      <c r="Y21" s="7"/>
    </row>
    <row r="22" spans="2:25" ht="19.899999999999999" customHeight="1" thickBot="1" x14ac:dyDescent="0.35">
      <c r="B22" s="74"/>
      <c r="C22" s="74"/>
    </row>
    <row r="23" spans="2:25" s="75" customFormat="1" ht="19.899999999999999" customHeight="1" x14ac:dyDescent="0.3">
      <c r="B23" s="211" t="e">
        <f>DATE(CalendarYear,3,1)</f>
        <v>#REF!</v>
      </c>
      <c r="C23" s="77"/>
      <c r="D23" s="213" t="s">
        <v>5</v>
      </c>
      <c r="E23" s="214"/>
      <c r="F23" s="214"/>
      <c r="G23" s="214"/>
      <c r="H23" s="213" t="s">
        <v>6</v>
      </c>
      <c r="I23" s="214"/>
      <c r="J23" s="214"/>
      <c r="K23" s="214"/>
      <c r="L23" s="213" t="s">
        <v>7</v>
      </c>
      <c r="M23" s="214"/>
      <c r="N23" s="214"/>
      <c r="O23" s="214"/>
      <c r="P23" s="213" t="s">
        <v>8</v>
      </c>
      <c r="Q23" s="214"/>
      <c r="R23" s="214"/>
      <c r="S23" s="214"/>
      <c r="T23" s="9"/>
      <c r="U23" s="9"/>
      <c r="V23" s="9"/>
      <c r="W23" s="9"/>
      <c r="X23" s="9"/>
      <c r="Y23" s="9"/>
    </row>
    <row r="24" spans="2:25" s="75" customFormat="1" ht="19.899999999999999" customHeight="1" x14ac:dyDescent="0.3">
      <c r="B24" s="212"/>
      <c r="C24" s="78"/>
      <c r="D24" s="318" t="s">
        <v>33</v>
      </c>
      <c r="E24" s="319"/>
      <c r="F24" s="319"/>
      <c r="G24" s="320"/>
      <c r="H24" s="332" t="s">
        <v>34</v>
      </c>
      <c r="I24" s="319"/>
      <c r="J24" s="319"/>
      <c r="K24" s="319"/>
      <c r="L24" s="319" t="s">
        <v>35</v>
      </c>
      <c r="M24" s="319"/>
      <c r="N24" s="319"/>
      <c r="O24" s="319"/>
      <c r="P24" s="319" t="s">
        <v>36</v>
      </c>
      <c r="Q24" s="319"/>
      <c r="R24" s="319"/>
      <c r="S24" s="319"/>
      <c r="T24" s="129"/>
      <c r="U24" s="10"/>
      <c r="V24" s="10"/>
      <c r="W24" s="10"/>
      <c r="X24" s="10"/>
      <c r="Y24" s="10"/>
    </row>
    <row r="25" spans="2:25" ht="19.899999999999999" customHeight="1" x14ac:dyDescent="0.3">
      <c r="B25" s="83" t="s">
        <v>21</v>
      </c>
      <c r="C25" s="92" t="s">
        <v>22</v>
      </c>
      <c r="D25" s="307"/>
      <c r="E25" s="307"/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6"/>
      <c r="U25" s="6"/>
      <c r="V25" s="6"/>
      <c r="W25" s="6"/>
      <c r="X25" s="6"/>
      <c r="Y25" s="6"/>
    </row>
    <row r="26" spans="2:25" ht="19.899999999999999" customHeight="1" x14ac:dyDescent="0.3">
      <c r="B26" s="84" t="s">
        <v>23</v>
      </c>
      <c r="C26" s="91" t="s">
        <v>24</v>
      </c>
      <c r="D26" s="307">
        <v>100</v>
      </c>
      <c r="E26" s="307"/>
      <c r="F26" s="307"/>
      <c r="G26" s="307"/>
      <c r="H26" s="307">
        <v>100</v>
      </c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7"/>
      <c r="U26" s="7"/>
      <c r="V26" s="7"/>
      <c r="W26" s="7"/>
      <c r="X26" s="7"/>
      <c r="Y26" s="7"/>
    </row>
    <row r="27" spans="2:25" ht="19.899999999999999" customHeight="1" x14ac:dyDescent="0.3">
      <c r="B27" s="84" t="s">
        <v>25</v>
      </c>
      <c r="C27" s="91" t="s">
        <v>26</v>
      </c>
      <c r="D27" s="307"/>
      <c r="E27" s="307"/>
      <c r="F27" s="307"/>
      <c r="G27" s="307"/>
      <c r="H27" s="307">
        <v>88.89</v>
      </c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7"/>
      <c r="U27" s="7"/>
      <c r="V27" s="7"/>
      <c r="W27" s="7"/>
      <c r="X27" s="7"/>
      <c r="Y27" s="7"/>
    </row>
    <row r="28" spans="2:25" ht="19.899999999999999" customHeight="1" x14ac:dyDescent="0.3">
      <c r="B28" s="84" t="s">
        <v>27</v>
      </c>
      <c r="C28" s="91" t="s">
        <v>28</v>
      </c>
      <c r="D28" s="307">
        <v>100</v>
      </c>
      <c r="E28" s="307"/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7"/>
      <c r="U28" s="7"/>
      <c r="V28" s="7"/>
      <c r="W28" s="7"/>
      <c r="X28" s="7"/>
      <c r="Y28" s="7"/>
    </row>
    <row r="29" spans="2:25" ht="19.899999999999999" customHeight="1" thickBot="1" x14ac:dyDescent="0.35">
      <c r="B29" s="74"/>
      <c r="C29" s="74"/>
    </row>
    <row r="30" spans="2:25" s="75" customFormat="1" ht="19.899999999999999" customHeight="1" x14ac:dyDescent="0.3">
      <c r="B30" s="211">
        <v>46113</v>
      </c>
      <c r="C30" s="77"/>
      <c r="D30" s="213" t="s">
        <v>5</v>
      </c>
      <c r="E30" s="214"/>
      <c r="F30" s="214"/>
      <c r="G30" s="214"/>
      <c r="H30" s="147"/>
      <c r="I30" s="213" t="s">
        <v>6</v>
      </c>
      <c r="J30" s="214"/>
      <c r="K30" s="214"/>
      <c r="L30" s="215"/>
      <c r="M30" s="213" t="s">
        <v>7</v>
      </c>
      <c r="N30" s="214"/>
      <c r="O30" s="214"/>
      <c r="P30" s="215"/>
      <c r="Q30" s="213" t="s">
        <v>8</v>
      </c>
      <c r="R30" s="214"/>
      <c r="S30" s="214"/>
      <c r="T30" s="215"/>
      <c r="U30" s="213" t="s">
        <v>39</v>
      </c>
      <c r="V30" s="214"/>
      <c r="W30" s="214"/>
      <c r="X30" s="215"/>
      <c r="Y30" s="9"/>
    </row>
    <row r="31" spans="2:25" s="75" customFormat="1" ht="19.899999999999999" customHeight="1" x14ac:dyDescent="0.3">
      <c r="B31" s="212"/>
      <c r="C31" s="78"/>
      <c r="D31" s="166" t="s">
        <v>40</v>
      </c>
      <c r="E31" s="167"/>
      <c r="F31" s="167"/>
      <c r="G31" s="167"/>
      <c r="H31" s="168"/>
      <c r="I31" s="318" t="s">
        <v>41</v>
      </c>
      <c r="J31" s="319"/>
      <c r="K31" s="319"/>
      <c r="L31" s="321"/>
      <c r="M31" s="318" t="s">
        <v>42</v>
      </c>
      <c r="N31" s="319"/>
      <c r="O31" s="319"/>
      <c r="P31" s="321"/>
      <c r="Q31" s="318" t="s">
        <v>172</v>
      </c>
      <c r="R31" s="319"/>
      <c r="S31" s="319"/>
      <c r="T31" s="321"/>
      <c r="U31" s="322" t="s">
        <v>44</v>
      </c>
      <c r="V31" s="226"/>
      <c r="W31" s="226"/>
      <c r="X31" s="323"/>
      <c r="Y31" s="10"/>
    </row>
    <row r="32" spans="2:25" ht="19.899999999999999" customHeight="1" x14ac:dyDescent="0.3">
      <c r="B32" s="83" t="s">
        <v>21</v>
      </c>
      <c r="C32" s="92" t="s">
        <v>22</v>
      </c>
      <c r="D32" s="376" t="str">
        <f ca="1">IF(OR(NOT(ISNUMBER(H30)),H30&lt;Job1_StartDate),"",IF(MID(Job1_Pattern,MOD(H30-Job1_StartDate,LEN(Job1_Pattern))+1,1)=Job1_Shift1_Code,1,IF(MID(Job1_Pattern,MOD(H30-Job1_StartDate,LEN(Job1_Pattern))+1,1)=Job1_Shift2_Code,2,IF(MID(Job1_Pattern,MOD(H30-Job1_StartDate,LEN(Job1_Pattern))+1,1)=Job1_Shift3_Code,3,""))))</f>
        <v/>
      </c>
      <c r="E32" s="377"/>
      <c r="F32" s="377"/>
      <c r="G32" s="377"/>
      <c r="H32" s="378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6"/>
    </row>
    <row r="33" spans="2:25" ht="19.899999999999999" customHeight="1" x14ac:dyDescent="0.3">
      <c r="B33" s="84" t="s">
        <v>23</v>
      </c>
      <c r="C33" s="91" t="s">
        <v>24</v>
      </c>
      <c r="D33" s="307"/>
      <c r="E33" s="307"/>
      <c r="F33" s="307"/>
      <c r="G33" s="307"/>
      <c r="H33" s="7" t="str">
        <f t="shared" ref="H33" ca="1" si="3">IF(OR(NOT(ISNUMBER(H30)),H30&lt;Job2_StartDate),"",IF(MID(Job2_Pattern,MOD(H30-Job2_StartDate,LEN(Job2_Pattern))+1,1)=Job2_Shift1_Code,1,IF(MID(Job2_Pattern,MOD(H30-Job2_StartDate,LEN(Job2_Pattern))+1,1)=Job2_Shift2_Code,2,IF(MID(Job2_Pattern,MOD(H30-Job2_StartDate,LEN(Job2_Pattern))+1,1)=Job2_Shift3_Code,3,""))))</f>
        <v/>
      </c>
      <c r="I33" s="307">
        <v>100</v>
      </c>
      <c r="J33" s="307"/>
      <c r="K33" s="307"/>
      <c r="L33" s="307"/>
      <c r="M33" s="307">
        <v>100</v>
      </c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7"/>
    </row>
    <row r="34" spans="2:25" ht="19.899999999999999" customHeight="1" x14ac:dyDescent="0.3">
      <c r="B34" s="84" t="s">
        <v>25</v>
      </c>
      <c r="C34" s="91" t="s">
        <v>26</v>
      </c>
      <c r="D34" s="307"/>
      <c r="E34" s="307"/>
      <c r="F34" s="307"/>
      <c r="G34" s="307"/>
      <c r="H34" s="7" t="str">
        <f t="shared" ref="H34" ca="1" si="4">IF(OR(NOT(ISNUMBER(H30)),H30&lt;Job3_StartDate),"",IF(MID(Job3_Pattern,MOD(H30-Job3_StartDate,LEN(Job3_Pattern))+1,1)=Job3_Shift1_Code,1,IF(MID(Job3_Pattern,MOD(H30-Job3_StartDate,LEN(Job3_Pattern))+1,1)=Job3_Shift2_Code,2,IF(MID(Job3_Pattern,MOD(H30-Job3_StartDate,LEN(Job3_Pattern))+1,1)=Job3_Shift3_Code,3,""))))</f>
        <v/>
      </c>
      <c r="I34" s="307">
        <v>100</v>
      </c>
      <c r="J34" s="307"/>
      <c r="K34" s="307"/>
      <c r="L34" s="307"/>
      <c r="M34" s="307">
        <v>100</v>
      </c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7"/>
    </row>
    <row r="35" spans="2:25" ht="19.899999999999999" customHeight="1" x14ac:dyDescent="0.3">
      <c r="B35" s="84" t="s">
        <v>27</v>
      </c>
      <c r="C35" s="91" t="s">
        <v>28</v>
      </c>
      <c r="D35" s="307"/>
      <c r="E35" s="307"/>
      <c r="F35" s="307"/>
      <c r="G35" s="307"/>
      <c r="I35" s="307"/>
      <c r="J35" s="307"/>
      <c r="K35" s="307"/>
      <c r="L35" s="307"/>
      <c r="M35" s="307">
        <v>100</v>
      </c>
      <c r="N35" s="307"/>
      <c r="O35" s="307">
        <v>100</v>
      </c>
      <c r="P35" s="307"/>
      <c r="Q35" s="307"/>
      <c r="R35" s="307"/>
      <c r="S35" s="307"/>
      <c r="T35" s="307"/>
      <c r="U35" s="307">
        <v>89</v>
      </c>
      <c r="V35" s="307"/>
      <c r="W35" s="307"/>
      <c r="X35" s="307"/>
    </row>
    <row r="36" spans="2:25" ht="19.899999999999999" customHeight="1" thickBot="1" x14ac:dyDescent="0.35">
      <c r="B36" s="148"/>
      <c r="C36" s="126"/>
      <c r="D36" s="17"/>
      <c r="E36" s="17"/>
      <c r="F36" s="17"/>
      <c r="G36" s="17"/>
    </row>
    <row r="37" spans="2:25" s="75" customFormat="1" ht="19.899999999999999" customHeight="1" x14ac:dyDescent="0.3">
      <c r="B37" s="211">
        <v>46143</v>
      </c>
      <c r="C37" s="77"/>
      <c r="D37" s="213" t="s">
        <v>5</v>
      </c>
      <c r="E37" s="214"/>
      <c r="F37" s="214"/>
      <c r="G37" s="214"/>
      <c r="H37" s="330" t="s">
        <v>6</v>
      </c>
      <c r="I37" s="331"/>
      <c r="J37" s="331"/>
      <c r="K37" s="331"/>
      <c r="L37" s="330" t="s">
        <v>7</v>
      </c>
      <c r="M37" s="331"/>
      <c r="N37" s="331"/>
      <c r="O37" s="331"/>
      <c r="P37" s="330" t="s">
        <v>8</v>
      </c>
      <c r="Q37" s="331"/>
      <c r="R37" s="331"/>
      <c r="S37" s="331"/>
      <c r="T37" s="147"/>
      <c r="U37" s="9"/>
      <c r="V37" s="9"/>
      <c r="W37" s="9"/>
      <c r="X37" s="9"/>
      <c r="Y37" s="9"/>
    </row>
    <row r="38" spans="2:25" s="75" customFormat="1" ht="19.899999999999999" customHeight="1" x14ac:dyDescent="0.3">
      <c r="B38" s="212"/>
      <c r="C38" s="78"/>
      <c r="D38" s="318" t="s">
        <v>45</v>
      </c>
      <c r="E38" s="319"/>
      <c r="F38" s="319"/>
      <c r="G38" s="320"/>
      <c r="H38" s="318" t="s">
        <v>46</v>
      </c>
      <c r="I38" s="319"/>
      <c r="J38" s="319"/>
      <c r="K38" s="321"/>
      <c r="L38" s="318" t="s">
        <v>47</v>
      </c>
      <c r="M38" s="319"/>
      <c r="N38" s="319"/>
      <c r="O38" s="321"/>
      <c r="P38" s="318" t="s">
        <v>48</v>
      </c>
      <c r="Q38" s="319"/>
      <c r="R38" s="319"/>
      <c r="S38" s="321"/>
      <c r="T38" s="129"/>
      <c r="U38" s="10"/>
      <c r="V38" s="10"/>
      <c r="W38" s="10"/>
      <c r="X38" s="10"/>
      <c r="Y38" s="10"/>
    </row>
    <row r="39" spans="2:25" ht="19.899999999999999" customHeight="1" x14ac:dyDescent="0.3">
      <c r="B39" s="83" t="s">
        <v>21</v>
      </c>
      <c r="C39" s="101" t="s">
        <v>22</v>
      </c>
      <c r="D39" s="373"/>
      <c r="E39" s="374"/>
      <c r="F39" s="373"/>
      <c r="G39" s="374"/>
      <c r="H39" s="373"/>
      <c r="I39" s="374"/>
      <c r="J39" s="373"/>
      <c r="K39" s="374"/>
      <c r="L39" s="373"/>
      <c r="M39" s="374"/>
      <c r="N39" s="373"/>
      <c r="O39" s="374"/>
      <c r="P39" s="373"/>
      <c r="Q39" s="374"/>
      <c r="R39" s="373"/>
      <c r="S39" s="374"/>
      <c r="T39" s="170"/>
      <c r="U39" s="6"/>
      <c r="V39" s="6"/>
      <c r="W39" s="6"/>
      <c r="X39" s="6"/>
      <c r="Y39" s="6"/>
    </row>
    <row r="40" spans="2:25" ht="19.899999999999999" customHeight="1" x14ac:dyDescent="0.3">
      <c r="B40" s="84"/>
      <c r="C40" s="102"/>
      <c r="D40" s="373"/>
      <c r="E40" s="374"/>
      <c r="F40" s="373"/>
      <c r="G40" s="374"/>
      <c r="H40" s="373"/>
      <c r="I40" s="374"/>
      <c r="J40" s="373"/>
      <c r="K40" s="374"/>
      <c r="L40" s="373"/>
      <c r="M40" s="374"/>
      <c r="N40" s="373"/>
      <c r="O40" s="374"/>
      <c r="P40" s="373"/>
      <c r="Q40" s="374"/>
      <c r="R40" s="373"/>
      <c r="S40" s="374"/>
      <c r="T40" s="170"/>
      <c r="U40" s="7"/>
      <c r="V40" s="7"/>
      <c r="W40" s="7"/>
      <c r="X40" s="7"/>
      <c r="Y40" s="7"/>
    </row>
    <row r="41" spans="2:25" ht="19.899999999999999" customHeight="1" x14ac:dyDescent="0.3">
      <c r="B41" s="84" t="s">
        <v>25</v>
      </c>
      <c r="C41" s="102" t="s">
        <v>26</v>
      </c>
      <c r="D41" s="373"/>
      <c r="E41" s="374"/>
      <c r="F41" s="373"/>
      <c r="G41" s="374"/>
      <c r="H41" s="373"/>
      <c r="I41" s="374"/>
      <c r="J41" s="373" t="s">
        <v>49</v>
      </c>
      <c r="K41" s="374"/>
      <c r="L41" s="373" t="s">
        <v>49</v>
      </c>
      <c r="M41" s="374"/>
      <c r="N41" s="373" t="s">
        <v>49</v>
      </c>
      <c r="O41" s="374"/>
      <c r="P41" s="373"/>
      <c r="Q41" s="374"/>
      <c r="R41" s="373"/>
      <c r="S41" s="374"/>
      <c r="T41" s="170"/>
      <c r="U41" s="7"/>
      <c r="V41" s="7"/>
      <c r="W41" s="7"/>
      <c r="X41" s="7"/>
      <c r="Y41" s="7"/>
    </row>
    <row r="42" spans="2:25" ht="19.899999999999999" customHeight="1" x14ac:dyDescent="0.3">
      <c r="B42" s="84" t="s">
        <v>254</v>
      </c>
      <c r="C42" s="102" t="s">
        <v>182</v>
      </c>
      <c r="D42" s="373"/>
      <c r="E42" s="374"/>
      <c r="F42" s="373"/>
      <c r="G42" s="374"/>
      <c r="H42" s="373"/>
      <c r="I42" s="374"/>
      <c r="J42" s="373"/>
      <c r="K42" s="374"/>
      <c r="L42" s="373"/>
      <c r="M42" s="374"/>
      <c r="N42" s="373"/>
      <c r="O42" s="374"/>
      <c r="P42" s="373" t="s">
        <v>49</v>
      </c>
      <c r="Q42" s="374"/>
      <c r="R42" s="373"/>
      <c r="S42" s="374"/>
      <c r="T42" s="170"/>
      <c r="U42" s="109"/>
      <c r="V42" s="109"/>
      <c r="W42" s="109"/>
      <c r="X42" s="109"/>
      <c r="Y42" s="109"/>
    </row>
    <row r="43" spans="2:25" ht="19.899999999999999" customHeight="1" x14ac:dyDescent="0.3">
      <c r="B43" s="84" t="s">
        <v>136</v>
      </c>
      <c r="C43" s="102" t="s">
        <v>26</v>
      </c>
      <c r="D43" s="373"/>
      <c r="E43" s="374"/>
      <c r="F43" s="373"/>
      <c r="G43" s="374"/>
      <c r="H43" s="373"/>
      <c r="I43" s="374"/>
      <c r="J43" s="373"/>
      <c r="K43" s="374"/>
      <c r="L43" s="373">
        <v>100</v>
      </c>
      <c r="M43" s="374"/>
      <c r="N43" s="373"/>
      <c r="O43" s="374"/>
      <c r="P43" s="373"/>
      <c r="Q43" s="374"/>
      <c r="R43" s="373"/>
      <c r="S43" s="374"/>
      <c r="T43" s="170"/>
      <c r="U43" s="109"/>
      <c r="V43" s="109"/>
      <c r="W43" s="109"/>
      <c r="X43" s="109"/>
      <c r="Y43" s="109"/>
    </row>
    <row r="44" spans="2:25" ht="19.899999999999999" customHeight="1" x14ac:dyDescent="0.3">
      <c r="B44" s="84" t="s">
        <v>27</v>
      </c>
      <c r="C44" s="102" t="s">
        <v>28</v>
      </c>
      <c r="D44" s="373"/>
      <c r="E44" s="374"/>
      <c r="F44" s="373"/>
      <c r="G44" s="374"/>
      <c r="H44" s="373"/>
      <c r="I44" s="374"/>
      <c r="J44" s="373"/>
      <c r="K44" s="374"/>
      <c r="L44" s="373" t="s">
        <v>49</v>
      </c>
      <c r="M44" s="374"/>
      <c r="N44" s="373" t="s">
        <v>49</v>
      </c>
      <c r="O44" s="374"/>
      <c r="P44" s="373"/>
      <c r="Q44" s="374"/>
      <c r="R44" s="373"/>
      <c r="S44" s="374"/>
      <c r="T44" s="169"/>
    </row>
    <row r="45" spans="2:25" ht="19.899999999999999" customHeight="1" thickBot="1" x14ac:dyDescent="0.35">
      <c r="B45" s="110"/>
      <c r="C45" s="111"/>
    </row>
    <row r="46" spans="2:25" s="75" customFormat="1" ht="19.899999999999999" customHeight="1" x14ac:dyDescent="0.3">
      <c r="B46" s="211">
        <v>46174</v>
      </c>
      <c r="C46" s="77"/>
      <c r="D46" s="213" t="s">
        <v>5</v>
      </c>
      <c r="E46" s="214"/>
      <c r="F46" s="214"/>
      <c r="G46" s="214"/>
      <c r="H46" s="330" t="s">
        <v>6</v>
      </c>
      <c r="I46" s="331"/>
      <c r="J46" s="331"/>
      <c r="K46" s="331"/>
      <c r="L46" s="330" t="s">
        <v>7</v>
      </c>
      <c r="M46" s="331"/>
      <c r="N46" s="331"/>
      <c r="O46" s="331"/>
      <c r="P46" s="330" t="s">
        <v>8</v>
      </c>
      <c r="Q46" s="331"/>
      <c r="R46" s="331"/>
      <c r="S46" s="331"/>
      <c r="T46" s="9"/>
      <c r="U46" s="9"/>
      <c r="V46" s="9"/>
      <c r="W46" s="9"/>
      <c r="X46" s="9"/>
      <c r="Y46" s="9"/>
    </row>
    <row r="47" spans="2:25" s="75" customFormat="1" ht="19.899999999999999" customHeight="1" x14ac:dyDescent="0.3">
      <c r="B47" s="212"/>
      <c r="C47" s="78"/>
      <c r="D47" s="332" t="s">
        <v>52</v>
      </c>
      <c r="E47" s="319"/>
      <c r="F47" s="319"/>
      <c r="G47" s="319"/>
      <c r="H47" s="332" t="s">
        <v>53</v>
      </c>
      <c r="I47" s="319"/>
      <c r="J47" s="319"/>
      <c r="K47" s="319"/>
      <c r="L47" s="332" t="s">
        <v>54</v>
      </c>
      <c r="M47" s="319"/>
      <c r="N47" s="319"/>
      <c r="O47" s="319"/>
      <c r="P47" s="332" t="s">
        <v>55</v>
      </c>
      <c r="Q47" s="319"/>
      <c r="R47" s="319"/>
      <c r="S47" s="319"/>
      <c r="T47" s="10"/>
      <c r="U47" s="10"/>
      <c r="V47" s="10"/>
      <c r="W47" s="10"/>
      <c r="X47" s="10"/>
      <c r="Y47" s="10"/>
    </row>
    <row r="48" spans="2:25" ht="19.899999999999999" customHeight="1" x14ac:dyDescent="0.3">
      <c r="B48" s="83" t="s">
        <v>21</v>
      </c>
      <c r="C48" s="71"/>
      <c r="D48" s="371"/>
      <c r="E48" s="372"/>
      <c r="F48" s="371"/>
      <c r="G48" s="372"/>
      <c r="H48" s="371"/>
      <c r="I48" s="372"/>
      <c r="J48" s="371"/>
      <c r="K48" s="372"/>
      <c r="L48" s="371"/>
      <c r="M48" s="372"/>
      <c r="N48" s="371"/>
      <c r="O48" s="372"/>
      <c r="P48" s="371"/>
      <c r="Q48" s="372"/>
      <c r="R48" s="371"/>
      <c r="S48" s="372"/>
      <c r="T48" s="6"/>
      <c r="U48" s="6"/>
      <c r="V48" s="6"/>
      <c r="W48" s="6"/>
      <c r="X48" s="6"/>
      <c r="Y48" s="6"/>
    </row>
    <row r="49" spans="2:25" ht="19.899999999999999" customHeight="1" x14ac:dyDescent="0.3">
      <c r="B49" s="84" t="s">
        <v>25</v>
      </c>
      <c r="C49" s="73"/>
      <c r="D49" s="371">
        <v>100</v>
      </c>
      <c r="E49" s="372"/>
      <c r="F49" s="371"/>
      <c r="G49" s="372"/>
      <c r="H49" s="371">
        <v>100</v>
      </c>
      <c r="I49" s="372"/>
      <c r="J49" s="371"/>
      <c r="K49" s="372"/>
      <c r="L49" s="371"/>
      <c r="M49" s="372"/>
      <c r="N49" s="371"/>
      <c r="O49" s="372"/>
      <c r="P49" s="371"/>
      <c r="Q49" s="372"/>
      <c r="R49" s="371"/>
      <c r="S49" s="372"/>
      <c r="T49" s="7"/>
      <c r="U49" s="7"/>
      <c r="V49" s="7"/>
      <c r="W49" s="7"/>
      <c r="X49" s="7"/>
      <c r="Y49" s="7"/>
    </row>
    <row r="50" spans="2:25" ht="19.899999999999999" customHeight="1" x14ac:dyDescent="0.3">
      <c r="B50" s="84" t="s">
        <v>254</v>
      </c>
      <c r="C50" s="128"/>
      <c r="D50" s="371">
        <v>100</v>
      </c>
      <c r="E50" s="372"/>
      <c r="F50" s="371"/>
      <c r="G50" s="372"/>
      <c r="H50" s="371"/>
      <c r="I50" s="372"/>
      <c r="J50" s="371">
        <v>100</v>
      </c>
      <c r="K50" s="372"/>
      <c r="L50" s="371"/>
      <c r="M50" s="372"/>
      <c r="N50" s="371"/>
      <c r="O50" s="372"/>
      <c r="P50" s="371"/>
      <c r="Q50" s="372"/>
      <c r="R50" s="371"/>
      <c r="S50" s="372"/>
      <c r="T50" s="109"/>
      <c r="U50" s="109"/>
      <c r="V50" s="109"/>
      <c r="W50" s="109"/>
      <c r="X50" s="109"/>
      <c r="Y50" s="109"/>
    </row>
    <row r="51" spans="2:25" ht="19.899999999999999" customHeight="1" x14ac:dyDescent="0.3">
      <c r="B51" s="84" t="s">
        <v>136</v>
      </c>
      <c r="C51" s="128"/>
      <c r="D51" s="371"/>
      <c r="E51" s="372"/>
      <c r="F51" s="371"/>
      <c r="G51" s="372"/>
      <c r="H51" s="371">
        <v>100</v>
      </c>
      <c r="I51" s="372"/>
      <c r="J51" s="371"/>
      <c r="K51" s="372"/>
      <c r="L51" s="371"/>
      <c r="M51" s="372"/>
      <c r="N51" s="371"/>
      <c r="O51" s="372"/>
      <c r="P51" s="371"/>
      <c r="Q51" s="372"/>
      <c r="R51" s="371"/>
      <c r="S51" s="372"/>
      <c r="T51" s="109"/>
      <c r="U51" s="109"/>
      <c r="V51" s="109"/>
      <c r="W51" s="109"/>
      <c r="X51" s="109"/>
      <c r="Y51" s="109"/>
    </row>
    <row r="52" spans="2:25" ht="19.899999999999999" customHeight="1" x14ac:dyDescent="0.3">
      <c r="B52" s="84" t="s">
        <v>27</v>
      </c>
      <c r="C52" s="128"/>
      <c r="D52" s="371"/>
      <c r="E52" s="372"/>
      <c r="F52" s="371"/>
      <c r="G52" s="372"/>
      <c r="H52" s="371"/>
      <c r="I52" s="372"/>
      <c r="J52" s="371"/>
      <c r="K52" s="372"/>
      <c r="L52" s="371">
        <v>100</v>
      </c>
      <c r="M52" s="372"/>
      <c r="N52" s="371"/>
      <c r="O52" s="372"/>
      <c r="P52" s="371"/>
      <c r="Q52" s="372"/>
      <c r="R52" s="371"/>
      <c r="S52" s="372"/>
      <c r="T52" s="109"/>
      <c r="U52" s="109"/>
      <c r="V52" s="109"/>
      <c r="W52" s="109"/>
      <c r="X52" s="109"/>
      <c r="Y52" s="109"/>
    </row>
    <row r="53" spans="2:25" ht="19.5" customHeight="1" x14ac:dyDescent="0.3">
      <c r="B53" s="74"/>
      <c r="C53" s="74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</row>
  </sheetData>
  <mergeCells count="266">
    <mergeCell ref="L27:M27"/>
    <mergeCell ref="N27:O27"/>
    <mergeCell ref="P27:Q27"/>
    <mergeCell ref="R27:S27"/>
    <mergeCell ref="L28:M28"/>
    <mergeCell ref="N28:O28"/>
    <mergeCell ref="P28:Q28"/>
    <mergeCell ref="R28:S28"/>
    <mergeCell ref="D27:E27"/>
    <mergeCell ref="F27:G27"/>
    <mergeCell ref="D28:E28"/>
    <mergeCell ref="F28:G28"/>
    <mergeCell ref="H27:I27"/>
    <mergeCell ref="J27:K27"/>
    <mergeCell ref="L26:M26"/>
    <mergeCell ref="N26:O26"/>
    <mergeCell ref="P26:Q26"/>
    <mergeCell ref="R26:S26"/>
    <mergeCell ref="D25:E25"/>
    <mergeCell ref="F25:G25"/>
    <mergeCell ref="D26:E26"/>
    <mergeCell ref="F26:G26"/>
    <mergeCell ref="H26:I26"/>
    <mergeCell ref="J26:K26"/>
    <mergeCell ref="N18:O18"/>
    <mergeCell ref="P18:Q18"/>
    <mergeCell ref="L21:M21"/>
    <mergeCell ref="N21:O21"/>
    <mergeCell ref="P19:Q19"/>
    <mergeCell ref="L25:M25"/>
    <mergeCell ref="N25:O25"/>
    <mergeCell ref="P25:Q25"/>
    <mergeCell ref="R25:S25"/>
    <mergeCell ref="L23:O23"/>
    <mergeCell ref="P23:S23"/>
    <mergeCell ref="L24:O24"/>
    <mergeCell ref="P24:S24"/>
    <mergeCell ref="R18:S18"/>
    <mergeCell ref="L19:M19"/>
    <mergeCell ref="N19:O19"/>
    <mergeCell ref="L20:M20"/>
    <mergeCell ref="N20:O20"/>
    <mergeCell ref="R19:S19"/>
    <mergeCell ref="P20:Q20"/>
    <mergeCell ref="P21:Q21"/>
    <mergeCell ref="R21:S21"/>
    <mergeCell ref="R20:S20"/>
    <mergeCell ref="L18:M18"/>
    <mergeCell ref="B46:B47"/>
    <mergeCell ref="D21:G21"/>
    <mergeCell ref="H21:K21"/>
    <mergeCell ref="H28:I28"/>
    <mergeCell ref="J28:K28"/>
    <mergeCell ref="J18:K18"/>
    <mergeCell ref="B23:B24"/>
    <mergeCell ref="D19:G19"/>
    <mergeCell ref="H19:K19"/>
    <mergeCell ref="H18:I18"/>
    <mergeCell ref="D23:G23"/>
    <mergeCell ref="H23:K23"/>
    <mergeCell ref="H24:K24"/>
    <mergeCell ref="H25:I25"/>
    <mergeCell ref="J25:K25"/>
    <mergeCell ref="D24:G24"/>
    <mergeCell ref="B30:B31"/>
    <mergeCell ref="B37:B38"/>
    <mergeCell ref="D20:G20"/>
    <mergeCell ref="H20:K20"/>
    <mergeCell ref="I30:L30"/>
    <mergeCell ref="I33:J33"/>
    <mergeCell ref="K33:L33"/>
    <mergeCell ref="I34:J34"/>
    <mergeCell ref="B16:B17"/>
    <mergeCell ref="C16:C17"/>
    <mergeCell ref="D16:G16"/>
    <mergeCell ref="H16:K16"/>
    <mergeCell ref="L16:O16"/>
    <mergeCell ref="P16:S16"/>
    <mergeCell ref="H17:K17"/>
    <mergeCell ref="L17:O17"/>
    <mergeCell ref="P17:S17"/>
    <mergeCell ref="D9:G9"/>
    <mergeCell ref="H9:K9"/>
    <mergeCell ref="L9:O9"/>
    <mergeCell ref="P9:S9"/>
    <mergeCell ref="D14:G14"/>
    <mergeCell ref="H14:K14"/>
    <mergeCell ref="L14:O14"/>
    <mergeCell ref="P14:S14"/>
    <mergeCell ref="D12:G12"/>
    <mergeCell ref="H12:K12"/>
    <mergeCell ref="L12:O12"/>
    <mergeCell ref="P12:S12"/>
    <mergeCell ref="D13:G13"/>
    <mergeCell ref="H13:K13"/>
    <mergeCell ref="L13:O13"/>
    <mergeCell ref="P13:S13"/>
    <mergeCell ref="D10:G10"/>
    <mergeCell ref="H10:K10"/>
    <mergeCell ref="L10:O10"/>
    <mergeCell ref="P10:S10"/>
    <mergeCell ref="D11:G11"/>
    <mergeCell ref="H11:K11"/>
    <mergeCell ref="L11:O11"/>
    <mergeCell ref="P11:S11"/>
    <mergeCell ref="B6:B7"/>
    <mergeCell ref="D6:G6"/>
    <mergeCell ref="H6:K6"/>
    <mergeCell ref="L6:O6"/>
    <mergeCell ref="P6:S6"/>
    <mergeCell ref="D8:G8"/>
    <mergeCell ref="H8:K8"/>
    <mergeCell ref="L8:O8"/>
    <mergeCell ref="P8:S8"/>
    <mergeCell ref="M30:P30"/>
    <mergeCell ref="Q30:T30"/>
    <mergeCell ref="U30:X30"/>
    <mergeCell ref="I31:L31"/>
    <mergeCell ref="M31:P31"/>
    <mergeCell ref="Q31:T31"/>
    <mergeCell ref="U31:X31"/>
    <mergeCell ref="D30:G30"/>
    <mergeCell ref="O32:P32"/>
    <mergeCell ref="D32:H32"/>
    <mergeCell ref="K32:L32"/>
    <mergeCell ref="O33:P33"/>
    <mergeCell ref="M34:N34"/>
    <mergeCell ref="O34:P34"/>
    <mergeCell ref="M35:N35"/>
    <mergeCell ref="W32:X32"/>
    <mergeCell ref="U33:V33"/>
    <mergeCell ref="W33:X33"/>
    <mergeCell ref="U34:V34"/>
    <mergeCell ref="W34:X34"/>
    <mergeCell ref="U35:V35"/>
    <mergeCell ref="W35:X35"/>
    <mergeCell ref="Q32:R32"/>
    <mergeCell ref="S32:T32"/>
    <mergeCell ref="Q33:R33"/>
    <mergeCell ref="S33:T33"/>
    <mergeCell ref="Q34:R34"/>
    <mergeCell ref="S34:T34"/>
    <mergeCell ref="Q35:R35"/>
    <mergeCell ref="S35:T35"/>
    <mergeCell ref="U32:V32"/>
    <mergeCell ref="O35:P35"/>
    <mergeCell ref="K34:L34"/>
    <mergeCell ref="I35:J35"/>
    <mergeCell ref="K35:L35"/>
    <mergeCell ref="M32:N32"/>
    <mergeCell ref="D33:E33"/>
    <mergeCell ref="F33:G33"/>
    <mergeCell ref="D34:E34"/>
    <mergeCell ref="F34:G34"/>
    <mergeCell ref="D35:E35"/>
    <mergeCell ref="F35:G35"/>
    <mergeCell ref="I32:J32"/>
    <mergeCell ref="M33:N33"/>
    <mergeCell ref="N41:O41"/>
    <mergeCell ref="L42:M42"/>
    <mergeCell ref="N42:O42"/>
    <mergeCell ref="L43:M43"/>
    <mergeCell ref="N43:O43"/>
    <mergeCell ref="L44:M44"/>
    <mergeCell ref="N44:O44"/>
    <mergeCell ref="P40:Q40"/>
    <mergeCell ref="R40:S40"/>
    <mergeCell ref="P41:Q41"/>
    <mergeCell ref="R41:S41"/>
    <mergeCell ref="P42:Q42"/>
    <mergeCell ref="L46:O46"/>
    <mergeCell ref="P46:S46"/>
    <mergeCell ref="D47:G47"/>
    <mergeCell ref="H47:K47"/>
    <mergeCell ref="L47:O47"/>
    <mergeCell ref="P47:S47"/>
    <mergeCell ref="D48:E48"/>
    <mergeCell ref="F48:G48"/>
    <mergeCell ref="D49:E49"/>
    <mergeCell ref="F49:G49"/>
    <mergeCell ref="D53:G53"/>
    <mergeCell ref="H53:K53"/>
    <mergeCell ref="L53:O53"/>
    <mergeCell ref="P53:S53"/>
    <mergeCell ref="D39:E39"/>
    <mergeCell ref="F39:G39"/>
    <mergeCell ref="D44:E44"/>
    <mergeCell ref="F44:G44"/>
    <mergeCell ref="J40:K40"/>
    <mergeCell ref="H41:I41"/>
    <mergeCell ref="J41:K41"/>
    <mergeCell ref="H42:I42"/>
    <mergeCell ref="J42:K42"/>
    <mergeCell ref="H43:I43"/>
    <mergeCell ref="J43:K43"/>
    <mergeCell ref="H44:I44"/>
    <mergeCell ref="J44:K44"/>
    <mergeCell ref="L40:M40"/>
    <mergeCell ref="N40:O40"/>
    <mergeCell ref="L41:M41"/>
    <mergeCell ref="D50:E50"/>
    <mergeCell ref="F50:G50"/>
    <mergeCell ref="D51:E51"/>
    <mergeCell ref="F51:G51"/>
    <mergeCell ref="D38:G38"/>
    <mergeCell ref="H38:K38"/>
    <mergeCell ref="L38:O38"/>
    <mergeCell ref="P38:S38"/>
    <mergeCell ref="D37:G37"/>
    <mergeCell ref="H37:K37"/>
    <mergeCell ref="L37:O37"/>
    <mergeCell ref="P37:S37"/>
    <mergeCell ref="H39:I39"/>
    <mergeCell ref="J39:K39"/>
    <mergeCell ref="L39:M39"/>
    <mergeCell ref="N39:O39"/>
    <mergeCell ref="P39:Q39"/>
    <mergeCell ref="R39:S39"/>
    <mergeCell ref="D40:E40"/>
    <mergeCell ref="F40:G40"/>
    <mergeCell ref="D41:E41"/>
    <mergeCell ref="F41:G41"/>
    <mergeCell ref="D42:E42"/>
    <mergeCell ref="F42:G42"/>
    <mergeCell ref="P50:Q50"/>
    <mergeCell ref="R50:S50"/>
    <mergeCell ref="H51:I51"/>
    <mergeCell ref="J51:K51"/>
    <mergeCell ref="L51:M51"/>
    <mergeCell ref="N51:O51"/>
    <mergeCell ref="R42:S42"/>
    <mergeCell ref="P43:Q43"/>
    <mergeCell ref="R43:S43"/>
    <mergeCell ref="P44:Q44"/>
    <mergeCell ref="R44:S44"/>
    <mergeCell ref="D43:E43"/>
    <mergeCell ref="F43:G43"/>
    <mergeCell ref="H40:I40"/>
    <mergeCell ref="P51:Q51"/>
    <mergeCell ref="R51:S51"/>
    <mergeCell ref="D46:G46"/>
    <mergeCell ref="H46:K46"/>
    <mergeCell ref="H52:I52"/>
    <mergeCell ref="J52:K52"/>
    <mergeCell ref="L52:M52"/>
    <mergeCell ref="N52:O52"/>
    <mergeCell ref="P52:Q52"/>
    <mergeCell ref="R52:S52"/>
    <mergeCell ref="D52:E52"/>
    <mergeCell ref="F52:G52"/>
    <mergeCell ref="H48:I48"/>
    <mergeCell ref="J48:K48"/>
    <mergeCell ref="L48:M48"/>
    <mergeCell ref="N48:O48"/>
    <mergeCell ref="P48:Q48"/>
    <mergeCell ref="R48:S48"/>
    <mergeCell ref="H49:I49"/>
    <mergeCell ref="J49:K49"/>
    <mergeCell ref="L49:M49"/>
    <mergeCell ref="N49:O49"/>
    <mergeCell ref="P49:Q49"/>
    <mergeCell ref="R49:S49"/>
    <mergeCell ref="H50:I50"/>
    <mergeCell ref="J50:K50"/>
    <mergeCell ref="L50:M50"/>
    <mergeCell ref="N50:O50"/>
  </mergeCells>
  <dataValidations count="2"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40A46ECD-638A-4EC6-AA49-56DE06571338}"/>
    <dataValidation allowBlank="1" showInputMessage="1" showErrorMessage="1" promptTitle="Shift Work Calendar" sqref="A2" xr:uid="{57F6DA42-C136-4AB9-984E-2D80B8F864B7}"/>
  </dataValidations>
  <printOptions horizontalCentered="1" verticalCentered="1"/>
  <pageMargins left="0.3" right="0.3" top="0.3" bottom="0.3" header="0.3" footer="0.3"/>
  <pageSetup scale="7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BF4D96B-D67F-4FE7-AEFD-0F23C760DC53}">
          <x14:formula1>
            <xm:f>Sheet1!$B$39:$B$46</xm:f>
          </x14:formula1>
          <xm:sqref>D8:S8</xm:sqref>
        </x14:dataValidation>
        <x14:dataValidation type="list" allowBlank="1" showInputMessage="1" showErrorMessage="1" xr:uid="{DC867C5F-46D9-4D4F-83D0-4094081BBCEA}">
          <x14:formula1>
            <xm:f>Sheet1!$B$48:$B$53</xm:f>
          </x14:formula1>
          <xm:sqref>D12:S14</xm:sqref>
        </x14:dataValidation>
        <x14:dataValidation type="list" allowBlank="1" showInputMessage="1" showErrorMessage="1" xr:uid="{726BAB0B-E75A-4E24-9D11-287123A0DBE8}">
          <x14:formula1>
            <xm:f>Sheet1!$B$13:$B$18</xm:f>
          </x14:formula1>
          <xm:sqref>D9:S9</xm:sqref>
        </x14:dataValidation>
        <x14:dataValidation type="list" allowBlank="1" showInputMessage="1" showErrorMessage="1" xr:uid="{F9F16348-7868-434A-8050-D3884B258739}">
          <x14:formula1>
            <xm:f>Sheet1!$B$20:$B$25</xm:f>
          </x14:formula1>
          <xm:sqref>D10:S10</xm:sqref>
        </x14:dataValidation>
        <x14:dataValidation type="list" allowBlank="1" showInputMessage="1" showErrorMessage="1" xr:uid="{1BBEA78C-5A55-4B2C-AA25-3D802A66B1AA}">
          <x14:formula1>
            <xm:f>Sheet1!$B$3:$B$11</xm:f>
          </x14:formula1>
          <xm:sqref>D11:S11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5BBE-BD06-4C40-B59F-17202A32E38B}">
  <sheetPr>
    <pageSetUpPr fitToPage="1"/>
  </sheetPr>
  <dimension ref="A1:AO57"/>
  <sheetViews>
    <sheetView showGridLines="0" topLeftCell="A41" zoomScaleNormal="100" workbookViewId="0">
      <selection activeCell="P51" sqref="P51:S51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36" width="3.77734375" style="3" customWidth="1"/>
    <col min="37" max="41" width="0" style="3" hidden="1" customWidth="1"/>
    <col min="42" max="16384" width="8.88671875" style="3" hidden="1"/>
  </cols>
  <sheetData>
    <row r="1" spans="2:35" ht="4.9000000000000004" customHeight="1" x14ac:dyDescent="0.3"/>
    <row r="2" spans="2:35" s="59" customFormat="1" ht="60" customHeight="1" x14ac:dyDescent="0.8">
      <c r="B2" s="62" t="s">
        <v>255</v>
      </c>
      <c r="C2" s="62"/>
      <c r="D2" s="63"/>
      <c r="E2" s="63"/>
      <c r="F2" s="63" t="s">
        <v>256</v>
      </c>
      <c r="G2" s="63"/>
      <c r="H2" s="63"/>
      <c r="I2" s="63"/>
      <c r="J2" s="63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6"/>
      <c r="AD2" s="232">
        <f ca="1">IF(MONTH(TODAY())=12,YEAR(TODAY())+1,YEAR(TODAY()))</f>
        <v>2026</v>
      </c>
      <c r="AE2" s="232"/>
      <c r="AF2" s="232"/>
      <c r="AG2" s="232"/>
      <c r="AH2" s="232"/>
      <c r="AI2" s="232"/>
    </row>
    <row r="3" spans="2:35" customFormat="1" ht="19.899999999999999" customHeight="1" x14ac:dyDescent="0.3">
      <c r="B3" s="70"/>
      <c r="C3" s="70"/>
    </row>
    <row r="4" spans="2:35" s="75" customFormat="1" ht="19.899999999999999" hidden="1" customHeight="1" x14ac:dyDescent="0.3">
      <c r="B4" s="211">
        <f ca="1">DATE(CalendarYear,1,1)</f>
        <v>46023</v>
      </c>
      <c r="C4" s="82"/>
      <c r="D4" s="213" t="s">
        <v>5</v>
      </c>
      <c r="E4" s="214"/>
      <c r="F4" s="214"/>
      <c r="G4" s="214"/>
      <c r="H4" s="214"/>
      <c r="I4" s="214"/>
      <c r="J4" s="214"/>
      <c r="K4" s="213" t="s">
        <v>7</v>
      </c>
      <c r="L4" s="214"/>
      <c r="M4" s="214"/>
      <c r="N4" s="214"/>
      <c r="O4" s="213" t="s">
        <v>8</v>
      </c>
      <c r="P4" s="214"/>
      <c r="Q4" s="214"/>
      <c r="R4" s="214"/>
      <c r="S4" s="57">
        <f ca="1">IF(DAY(JanSun1)=1,IF(AND(YEAR(JanSun1+14)=CalendarYear,MONTH(JanSun1+14)=1),JanSun1+14,""),IF(AND(YEAR(JanSun1+21)=CalendarYear,MONTH(JanSun1+21)=1),JanSun1+21,""))</f>
        <v>46039</v>
      </c>
      <c r="T4" s="57">
        <f ca="1">IF(DAY(JanSun1)=1,IF(AND(YEAR(JanSun1+15)=CalendarYear,MONTH(JanSun1+15)=1),JanSun1+15,""),IF(AND(YEAR(JanSun1+22)=CalendarYear,MONTH(JanSun1+22)=1),JanSun1+22,""))</f>
        <v>46040</v>
      </c>
      <c r="U4" s="57">
        <f ca="1">IF(DAY(JanSun1)=1,IF(AND(YEAR(JanSun1+16)=CalendarYear,MONTH(JanSun1+16)=1),JanSun1+16,""),IF(AND(YEAR(JanSun1+23)=CalendarYear,MONTH(JanSun1+23)=1),JanSun1+23,""))</f>
        <v>46041</v>
      </c>
      <c r="V4" s="57">
        <f ca="1">IF(DAY(JanSun1)=1,IF(AND(YEAR(JanSun1+17)=CalendarYear,MONTH(JanSun1+17)=1),JanSun1+17,""),IF(AND(YEAR(JanSun1+24)=CalendarYear,MONTH(JanSun1+24)=1),JanSun1+24,""))</f>
        <v>46042</v>
      </c>
      <c r="W4" s="57">
        <f ca="1">IF(DAY(JanSun1)=1,IF(AND(YEAR(JanSun1+18)=CalendarYear,MONTH(JanSun1+18)=1),JanSun1+18,""),IF(AND(YEAR(JanSun1+25)=CalendarYear,MONTH(JanSun1+25)=1),JanSun1+25,""))</f>
        <v>46043</v>
      </c>
      <c r="X4" s="57">
        <f ca="1">IF(DAY(JanSun1)=1,IF(AND(YEAR(JanSun1+19)=CalendarYear,MONTH(JanSun1+19)=1),JanSun1+19,""),IF(AND(YEAR(JanSun1+26)=CalendarYear,MONTH(JanSun1+26)=1),JanSun1+26,""))</f>
        <v>46044</v>
      </c>
      <c r="Y4" s="57">
        <f ca="1">IF(DAY(JanSun1)=1,IF(AND(YEAR(JanSun1+20)=CalendarYear,MONTH(JanSun1+20)=1),JanSun1+20,""),IF(AND(YEAR(JanSun1+27)=CalendarYear,MONTH(JanSun1+27)=1),JanSun1+27,""))</f>
        <v>46045</v>
      </c>
      <c r="Z4" s="57">
        <f ca="1">IF(DAY(JanSun1)=1,IF(AND(YEAR(JanSun1+21)=CalendarYear,MONTH(JanSun1+21)=1),JanSun1+21,""),IF(AND(YEAR(JanSun1+28)=CalendarYear,MONTH(JanSun1+28)=1),JanSun1+28,""))</f>
        <v>46046</v>
      </c>
      <c r="AA4" s="57">
        <f ca="1">IF(DAY(JanSun1)=1,IF(AND(YEAR(JanSun1+22)=CalendarYear,MONTH(JanSun1+22)=1),JanSun1+22,""),IF(AND(YEAR(JanSun1+29)=CalendarYear,MONTH(JanSun1+29)=1),JanSun1+29,""))</f>
        <v>46047</v>
      </c>
      <c r="AB4" s="57">
        <f ca="1">IF(DAY(JanSun1)=1,IF(AND(YEAR(JanSun1+23)=CalendarYear,MONTH(JanSun1+23)=1),JanSun1+23,""),IF(AND(YEAR(JanSun1+30)=CalendarYear,MONTH(JanSun1+30)=1),JanSun1+30,""))</f>
        <v>46048</v>
      </c>
      <c r="AC4" s="57">
        <f ca="1">IF(DAY(JanSun1)=1,IF(AND(YEAR(JanSun1+24)=CalendarYear,MONTH(JanSun1+24)=1),JanSun1+24,""),IF(AND(YEAR(JanSun1+31)=CalendarYear,MONTH(JanSun1+31)=1),JanSun1+31,""))</f>
        <v>46049</v>
      </c>
      <c r="AD4" s="9">
        <f ca="1">IF(DAY(JanSun1)=1,IF(AND(YEAR(JanSun1+25)=CalendarYear,MONTH(JanSun1+25)=1),JanSun1+25,""),IF(AND(YEAR(JanSun1+32)=CalendarYear,MONTH(JanSun1+32)=1),JanSun1+32,""))</f>
        <v>46050</v>
      </c>
      <c r="AE4" s="9">
        <f ca="1">IF(DAY(JanSun1)=1,IF(AND(YEAR(JanSun1+26)=CalendarYear,MONTH(JanSun1+26)=1),JanSun1+26,""),IF(AND(YEAR(JanSun1+33)=CalendarYear,MONTH(JanSun1+33)=1),JanSun1+33,""))</f>
        <v>46051</v>
      </c>
      <c r="AF4" s="9">
        <f ca="1">IF(DAY(JanSun1)=1,IF(AND(YEAR(JanSun1+27)=CalendarYear,MONTH(JanSun1+27)=1),JanSun1+27,""),IF(AND(YEAR(JanSun1+34)=CalendarYear,MONTH(JanSun1+34)=1),JanSun1+34,""))</f>
        <v>46052</v>
      </c>
      <c r="AG4" s="9">
        <f ca="1">IF(DAY(JanSun1)=1,IF(AND(YEAR(JanSun1+28)=CalendarYear,MONTH(JanSun1+28)=1),JanSun1+28,""),IF(AND(YEAR(JanSun1+35)=CalendarYear,MONTH(JanSun1+35)=1),JanSun1+35,""))</f>
        <v>46053</v>
      </c>
      <c r="AH4" s="9" t="str">
        <f ca="1">IF(DAY(JanSun1)=1,IF(AND(YEAR(JanSun1+29)=CalendarYear,MONTH(JanSun1+29)=1),JanSun1+29,""),IF(AND(YEAR(JanSun1+36)=CalendarYear,MONTH(JanSun1+36)=1),JanSun1+36,""))</f>
        <v/>
      </c>
      <c r="AI4" s="11" t="str">
        <f ca="1">IF(DAY(JanSun1)=1,IF(AND(YEAR(JanSun1+30)=CalendarYear,MONTH(JanSun1+30)=1),JanSun1+30,""),IF(AND(YEAR(JanSun1+37)=CalendarYear,MONTH(JanSun1+37)=1),JanSun1+37,""))</f>
        <v/>
      </c>
    </row>
    <row r="5" spans="2:35" s="75" customFormat="1" ht="19.899999999999999" hidden="1" customHeight="1" thickBot="1" x14ac:dyDescent="0.35">
      <c r="B5" s="239"/>
      <c r="C5" s="90"/>
      <c r="D5" s="87" t="s">
        <v>9</v>
      </c>
      <c r="E5" s="80" t="s">
        <v>10</v>
      </c>
      <c r="F5" s="80" t="s">
        <v>11</v>
      </c>
      <c r="G5" s="80" t="s">
        <v>12</v>
      </c>
      <c r="H5" s="80" t="s">
        <v>10</v>
      </c>
      <c r="I5" s="80" t="s">
        <v>11</v>
      </c>
      <c r="J5" s="80" t="s">
        <v>12</v>
      </c>
      <c r="K5" s="87" t="s">
        <v>9</v>
      </c>
      <c r="L5" s="80" t="s">
        <v>10</v>
      </c>
      <c r="M5" s="80" t="s">
        <v>11</v>
      </c>
      <c r="N5" s="80" t="s">
        <v>12</v>
      </c>
      <c r="O5" s="87" t="s">
        <v>9</v>
      </c>
      <c r="P5" s="80" t="s">
        <v>10</v>
      </c>
      <c r="Q5" s="80" t="s">
        <v>11</v>
      </c>
      <c r="R5" s="80" t="s">
        <v>12</v>
      </c>
      <c r="S5" s="58" t="s">
        <v>14</v>
      </c>
      <c r="T5" s="58" t="s">
        <v>15</v>
      </c>
      <c r="U5" s="58" t="s">
        <v>9</v>
      </c>
      <c r="V5" s="58" t="s">
        <v>10</v>
      </c>
      <c r="W5" s="58" t="s">
        <v>11</v>
      </c>
      <c r="X5" s="58" t="s">
        <v>16</v>
      </c>
      <c r="Y5" s="58" t="s">
        <v>13</v>
      </c>
      <c r="Z5" s="58" t="s">
        <v>14</v>
      </c>
      <c r="AA5" s="58" t="s">
        <v>15</v>
      </c>
      <c r="AB5" s="58" t="s">
        <v>9</v>
      </c>
      <c r="AC5" s="58" t="s">
        <v>10</v>
      </c>
      <c r="AD5" s="79" t="s">
        <v>11</v>
      </c>
      <c r="AE5" s="10" t="s">
        <v>16</v>
      </c>
      <c r="AF5" s="10" t="s">
        <v>13</v>
      </c>
      <c r="AG5" s="10" t="s">
        <v>14</v>
      </c>
      <c r="AH5" s="10" t="s">
        <v>15</v>
      </c>
      <c r="AI5" s="12" t="s">
        <v>9</v>
      </c>
    </row>
    <row r="6" spans="2:35" ht="19.899999999999999" hidden="1" customHeight="1" thickBot="1" x14ac:dyDescent="0.35">
      <c r="B6" s="83"/>
      <c r="C6" s="92"/>
      <c r="D6" s="193"/>
      <c r="E6" s="194"/>
      <c r="F6" s="194"/>
      <c r="G6" s="194"/>
      <c r="H6" s="194"/>
      <c r="I6" s="194"/>
      <c r="J6" s="194"/>
      <c r="K6" s="193"/>
      <c r="L6" s="194"/>
      <c r="M6" s="194"/>
      <c r="N6" s="194"/>
      <c r="O6" s="193"/>
      <c r="P6" s="194"/>
      <c r="Q6" s="194"/>
      <c r="R6" s="194"/>
      <c r="S6" s="6" t="str">
        <f t="shared" ref="S6:AI6" ca="1" si="0">IF(OR(NOT(ISNUMBER(S4)),S4&lt;Job1_StartDate),"",IF(MID(Job1_Pattern,MOD(S4-Job1_StartDate,LEN(Job1_Pattern))+1,1)=Job1_Shift1_Code,1,IF(MID(Job1_Pattern,MOD(S4-Job1_StartDate,LEN(Job1_Pattern))+1,1)=Job1_Shift2_Code,2,IF(MID(Job1_Pattern,MOD(S4-Job1_StartDate,LEN(Job1_Pattern))+1,1)=Job1_Shift3_Code,3,""))))</f>
        <v/>
      </c>
      <c r="T6" s="6" t="str">
        <f t="shared" ca="1" si="0"/>
        <v/>
      </c>
      <c r="U6" s="6" t="str">
        <f t="shared" ca="1" si="0"/>
        <v/>
      </c>
      <c r="V6" s="6">
        <f t="shared" ca="1" si="0"/>
        <v>1</v>
      </c>
      <c r="W6" s="6" t="str">
        <f t="shared" ca="1" si="0"/>
        <v/>
      </c>
      <c r="X6" s="6" t="str">
        <f t="shared" ca="1" si="0"/>
        <v/>
      </c>
      <c r="Y6" s="6" t="str">
        <f t="shared" ca="1" si="0"/>
        <v/>
      </c>
      <c r="Z6" s="6">
        <f t="shared" ca="1" si="0"/>
        <v>1</v>
      </c>
      <c r="AA6" s="6" t="str">
        <f t="shared" ca="1" si="0"/>
        <v/>
      </c>
      <c r="AB6" s="6" t="str">
        <f t="shared" ca="1" si="0"/>
        <v/>
      </c>
      <c r="AC6" s="6" t="str">
        <f t="shared" ca="1" si="0"/>
        <v/>
      </c>
      <c r="AD6" s="6">
        <f t="shared" ca="1" si="0"/>
        <v>1</v>
      </c>
      <c r="AE6" s="6" t="str">
        <f t="shared" ca="1" si="0"/>
        <v/>
      </c>
      <c r="AF6" s="6" t="str">
        <f t="shared" ca="1" si="0"/>
        <v/>
      </c>
      <c r="AG6" s="6" t="str">
        <f t="shared" ca="1" si="0"/>
        <v/>
      </c>
      <c r="AH6" s="6" t="str">
        <f t="shared" ca="1" si="0"/>
        <v/>
      </c>
      <c r="AI6" s="6" t="str">
        <f t="shared" ca="1" si="0"/>
        <v/>
      </c>
    </row>
    <row r="7" spans="2:35" ht="19.899999999999999" hidden="1" customHeight="1" thickBot="1" x14ac:dyDescent="0.35">
      <c r="B7" s="84"/>
      <c r="C7" s="91"/>
      <c r="D7" s="193"/>
      <c r="E7" s="194"/>
      <c r="F7" s="194"/>
      <c r="G7" s="194"/>
      <c r="H7" s="194"/>
      <c r="I7" s="194"/>
      <c r="J7" s="194"/>
      <c r="K7" s="193"/>
      <c r="L7" s="194"/>
      <c r="M7" s="194"/>
      <c r="N7" s="194"/>
      <c r="O7" s="193"/>
      <c r="P7" s="194"/>
      <c r="Q7" s="194"/>
      <c r="R7" s="194"/>
      <c r="S7" s="7" t="str">
        <f t="shared" ref="S7:AI7" ca="1" si="1">IF(OR(NOT(ISNUMBER(S4)),S4&lt;Job2_StartDate),"",IF(MID(Job2_Pattern,MOD(S4-Job2_StartDate,LEN(Job2_Pattern))+1,1)=Job2_Shift1_Code,1,IF(MID(Job2_Pattern,MOD(S4-Job2_StartDate,LEN(Job2_Pattern))+1,1)=Job2_Shift2_Code,2,IF(MID(Job2_Pattern,MOD(S4-Job2_StartDate,LEN(Job2_Pattern))+1,1)=Job2_Shift3_Code,3,""))))</f>
        <v/>
      </c>
      <c r="T7" s="7" t="str">
        <f t="shared" ca="1" si="1"/>
        <v/>
      </c>
      <c r="U7" s="7">
        <f t="shared" ca="1" si="1"/>
        <v>2</v>
      </c>
      <c r="V7" s="7" t="str">
        <f t="shared" ca="1" si="1"/>
        <v/>
      </c>
      <c r="W7" s="7" t="str">
        <f t="shared" ca="1" si="1"/>
        <v/>
      </c>
      <c r="X7" s="7" t="str">
        <f t="shared" ca="1" si="1"/>
        <v/>
      </c>
      <c r="Y7" s="7">
        <f t="shared" ca="1" si="1"/>
        <v>2</v>
      </c>
      <c r="Z7" s="7" t="str">
        <f t="shared" ca="1" si="1"/>
        <v/>
      </c>
      <c r="AA7" s="7" t="str">
        <f t="shared" ca="1" si="1"/>
        <v/>
      </c>
      <c r="AB7" s="7" t="str">
        <f t="shared" ca="1" si="1"/>
        <v/>
      </c>
      <c r="AC7" s="7">
        <f t="shared" ca="1" si="1"/>
        <v>2</v>
      </c>
      <c r="AD7" s="7" t="str">
        <f t="shared" ca="1" si="1"/>
        <v/>
      </c>
      <c r="AE7" s="7" t="str">
        <f t="shared" ca="1" si="1"/>
        <v/>
      </c>
      <c r="AF7" s="7" t="str">
        <f t="shared" ca="1" si="1"/>
        <v/>
      </c>
      <c r="AG7" s="7">
        <f t="shared" ca="1" si="1"/>
        <v>2</v>
      </c>
      <c r="AH7" s="7" t="str">
        <f t="shared" ca="1" si="1"/>
        <v/>
      </c>
      <c r="AI7" s="7" t="str">
        <f t="shared" ca="1" si="1"/>
        <v/>
      </c>
    </row>
    <row r="8" spans="2:35" ht="19.899999999999999" hidden="1" customHeight="1" thickBot="1" x14ac:dyDescent="0.35">
      <c r="B8" s="84"/>
      <c r="C8" s="91"/>
      <c r="D8" s="193"/>
      <c r="E8" s="194"/>
      <c r="F8" s="194"/>
      <c r="G8" s="194"/>
      <c r="H8" s="194"/>
      <c r="I8" s="194"/>
      <c r="J8" s="194"/>
      <c r="K8" s="193"/>
      <c r="L8" s="194"/>
      <c r="M8" s="194"/>
      <c r="N8" s="194"/>
      <c r="O8" s="193"/>
      <c r="P8" s="194"/>
      <c r="Q8" s="194"/>
      <c r="R8" s="194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 ht="19.899999999999999" hidden="1" customHeight="1" thickBot="1" x14ac:dyDescent="0.35">
      <c r="B9" s="84"/>
      <c r="C9" s="91"/>
      <c r="D9" s="193"/>
      <c r="E9" s="194"/>
      <c r="F9" s="194"/>
      <c r="G9" s="194"/>
      <c r="H9" s="194"/>
      <c r="I9" s="194"/>
      <c r="J9" s="194"/>
      <c r="K9" s="193"/>
      <c r="L9" s="194"/>
      <c r="M9" s="194"/>
      <c r="N9" s="194"/>
      <c r="O9" s="193"/>
      <c r="P9" s="194"/>
      <c r="Q9" s="194"/>
      <c r="R9" s="194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2:35" ht="19.899999999999999" hidden="1" customHeight="1" thickBot="1" x14ac:dyDescent="0.35">
      <c r="B10" s="84"/>
      <c r="C10" s="91"/>
      <c r="D10" s="193"/>
      <c r="E10" s="194"/>
      <c r="F10" s="194"/>
      <c r="G10" s="194"/>
      <c r="H10" s="194"/>
      <c r="I10" s="194"/>
      <c r="J10" s="194"/>
      <c r="K10" s="193"/>
      <c r="L10" s="194"/>
      <c r="M10" s="194"/>
      <c r="N10" s="194"/>
      <c r="O10" s="193"/>
      <c r="P10" s="194"/>
      <c r="Q10" s="194"/>
      <c r="R10" s="194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2:35" ht="19.899999999999999" hidden="1" customHeight="1" thickBot="1" x14ac:dyDescent="0.35">
      <c r="B11" s="84"/>
      <c r="C11" s="91"/>
      <c r="D11" s="193"/>
      <c r="E11" s="194"/>
      <c r="F11" s="194"/>
      <c r="G11" s="194"/>
      <c r="H11" s="194"/>
      <c r="I11" s="194"/>
      <c r="J11" s="194"/>
      <c r="K11" s="193"/>
      <c r="L11" s="194"/>
      <c r="M11" s="194"/>
      <c r="N11" s="194"/>
      <c r="O11" s="193"/>
      <c r="P11" s="194"/>
      <c r="Q11" s="194"/>
      <c r="R11" s="194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2:35" ht="19.899999999999999" hidden="1" customHeight="1" thickBot="1" x14ac:dyDescent="0.35">
      <c r="B12" s="85"/>
      <c r="C12" s="91"/>
      <c r="D12" s="193"/>
      <c r="E12" s="194"/>
      <c r="F12" s="194"/>
      <c r="G12" s="194"/>
      <c r="H12" s="194"/>
      <c r="I12" s="194"/>
      <c r="J12" s="194"/>
      <c r="K12" s="193"/>
      <c r="L12" s="194"/>
      <c r="M12" s="194"/>
      <c r="N12" s="194"/>
      <c r="O12" s="193"/>
      <c r="P12" s="194"/>
      <c r="Q12" s="194"/>
      <c r="R12" s="194"/>
      <c r="S12" s="7" t="str">
        <f t="shared" ref="S12:AI12" ca="1" si="2">IF(OR(NOT(ISNUMBER(S4)),S4&lt;Job3_StartDate),"",IF(MID(Job3_Pattern,MOD(S4-Job3_StartDate,LEN(Job3_Pattern))+1,1)=Job3_Shift1_Code,1,IF(MID(Job3_Pattern,MOD(S4-Job3_StartDate,LEN(Job3_Pattern))+1,1)=Job3_Shift2_Code,2,IF(MID(Job3_Pattern,MOD(S4-Job3_StartDate,LEN(Job3_Pattern))+1,1)=Job3_Shift3_Code,3,""))))</f>
        <v/>
      </c>
      <c r="T12" s="7" t="str">
        <f t="shared" ca="1" si="2"/>
        <v/>
      </c>
      <c r="U12" s="7" t="str">
        <f t="shared" ca="1" si="2"/>
        <v/>
      </c>
      <c r="V12" s="7">
        <f t="shared" ca="1" si="2"/>
        <v>3</v>
      </c>
      <c r="W12" s="7" t="str">
        <f t="shared" ca="1" si="2"/>
        <v/>
      </c>
      <c r="X12" s="7" t="str">
        <f t="shared" ca="1" si="2"/>
        <v/>
      </c>
      <c r="Y12" s="7" t="str">
        <f t="shared" ca="1" si="2"/>
        <v/>
      </c>
      <c r="Z12" s="7">
        <f t="shared" ca="1" si="2"/>
        <v>3</v>
      </c>
      <c r="AA12" s="7" t="str">
        <f t="shared" ca="1" si="2"/>
        <v/>
      </c>
      <c r="AB12" s="7" t="str">
        <f t="shared" ca="1" si="2"/>
        <v/>
      </c>
      <c r="AC12" s="7" t="str">
        <f t="shared" ca="1" si="2"/>
        <v/>
      </c>
      <c r="AD12" s="7">
        <f t="shared" ca="1" si="2"/>
        <v>3</v>
      </c>
      <c r="AE12" s="7" t="str">
        <f t="shared" ca="1" si="2"/>
        <v/>
      </c>
      <c r="AF12" s="7" t="str">
        <f t="shared" ca="1" si="2"/>
        <v/>
      </c>
      <c r="AG12" s="7" t="str">
        <f t="shared" ca="1" si="2"/>
        <v/>
      </c>
      <c r="AH12" s="7" t="str">
        <f t="shared" ca="1" si="2"/>
        <v/>
      </c>
      <c r="AI12" s="7" t="str">
        <f t="shared" ca="1" si="2"/>
        <v/>
      </c>
    </row>
    <row r="13" spans="2:35" s="76" customFormat="1" ht="19.899999999999999" hidden="1" customHeight="1" thickBot="1" x14ac:dyDescent="0.35">
      <c r="B13" s="240">
        <f ca="1">DATE(CalendarYear,2,1)</f>
        <v>46054</v>
      </c>
      <c r="C13" s="228" t="s">
        <v>17</v>
      </c>
      <c r="D13" s="213" t="s">
        <v>5</v>
      </c>
      <c r="E13" s="214"/>
      <c r="F13" s="214"/>
      <c r="G13" s="214"/>
      <c r="H13" s="214"/>
      <c r="I13" s="214"/>
      <c r="J13" s="214"/>
      <c r="K13" s="213" t="s">
        <v>7</v>
      </c>
      <c r="L13" s="214"/>
      <c r="M13" s="214"/>
      <c r="N13" s="214"/>
      <c r="O13" s="213" t="s">
        <v>8</v>
      </c>
      <c r="P13" s="214"/>
      <c r="Q13" s="214"/>
      <c r="R13" s="214"/>
      <c r="S13" s="89"/>
      <c r="T13" s="9"/>
      <c r="U13" s="9"/>
      <c r="V13" s="9"/>
      <c r="W13" s="9"/>
      <c r="X13" s="9"/>
      <c r="Y13" s="9"/>
      <c r="Z13" s="9"/>
      <c r="AA13" s="9" t="str">
        <f ca="1">IF(DAY(FebSun1)=1,IF(AND(YEAR(FebSun1+22)=CalendarYear,MONTH(FebSun1+22)=2),FebSun1+22,""),IF(AND(YEAR(FebSun1+29)=CalendarYear,MONTH(FebSun1+29)=2),FebSun1+29,""))</f>
        <v/>
      </c>
      <c r="AB13" s="9" t="str">
        <f ca="1">IF(DAY(FebSun1)=1,IF(AND(YEAR(FebSun1+23)=CalendarYear,MONTH(FebSun1+23)=2),FebSun1+23,""),IF(AND(YEAR(FebSun1+30)=CalendarYear,MONTH(FebSun1+30)=2),FebSun1+30,""))</f>
        <v/>
      </c>
      <c r="AC13" s="9" t="str">
        <f ca="1">IF(DAY(FebSun1)=1,IF(AND(YEAR(FebSun1+24)=CalendarYear,MONTH(FebSun1+24)=2),FebSun1+24,""),IF(AND(YEAR(FebSun1+31)=CalendarYear,MONTH(FebSun1+31)=2),FebSun1+31,""))</f>
        <v/>
      </c>
      <c r="AD13" s="9" t="str">
        <f ca="1">IF(DAY(FebSun1)=1,IF(AND(YEAR(FebSun1+25)=CalendarYear,MONTH(FebSun1+25)=2),FebSun1+25,""),IF(AND(YEAR(FebSun1+32)=CalendarYear,MONTH(FebSun1+32)=2),FebSun1+32,""))</f>
        <v/>
      </c>
      <c r="AE13" s="9" t="str">
        <f ca="1">IF(DAY(FebSun1)=1,IF(AND(YEAR(FebSun1+26)=CalendarYear,MONTH(FebSun1+26)=2),FebSun1+26,""),IF(AND(YEAR(FebSun1+33)=CalendarYear,MONTH(FebSun1+33)=2),FebSun1+33,""))</f>
        <v/>
      </c>
      <c r="AF13" s="9" t="str">
        <f ca="1">IF(DAY(FebSun1)=1,IF(AND(YEAR(FebSun1+27)=CalendarYear,MONTH(FebSun1+27)=2),FebSun1+27,""),IF(AND(YEAR(FebSun1+34)=CalendarYear,MONTH(FebSun1+34)=2),FebSun1+34,""))</f>
        <v/>
      </c>
      <c r="AG13" s="9" t="str">
        <f ca="1">IF(DAY(FebSun1)=1,IF(AND(YEAR(FebSun1+28)=CalendarYear,MONTH(FebSun1+28)=2),FebSun1+28,""),IF(AND(YEAR(FebSun1+35)=CalendarYear,MONTH(FebSun1+35)=2),FebSun1+35,""))</f>
        <v/>
      </c>
      <c r="AH13" s="9" t="str">
        <f ca="1">IF(DAY(FebSun1)=1,IF(AND(YEAR(FebSun1+29)=CalendarYear,MONTH(FebSun1+29)=2),FebSun1+29,""),IF(AND(YEAR(FebSun1+36)=CalendarYear,MONTH(FebSun1+36)=2),FebSun1+36,""))</f>
        <v/>
      </c>
      <c r="AI13" s="11" t="str">
        <f ca="1">IF(DAY(FebSun1)=1,IF(AND(YEAR(FebSun1+30)=CalendarYear,MONTH(FebSun1+30)=2),FebSun1+30,""),IF(AND(YEAR(FebSun1+37)=CalendarYear,MONTH(FebSun1+37)=2),FebSun1+37,""))</f>
        <v/>
      </c>
    </row>
    <row r="14" spans="2:35" s="76" customFormat="1" ht="19.899999999999999" hidden="1" customHeight="1" thickBot="1" x14ac:dyDescent="0.35">
      <c r="B14" s="239"/>
      <c r="C14" s="228"/>
      <c r="D14" s="87" t="s">
        <v>9</v>
      </c>
      <c r="E14" s="80" t="s">
        <v>10</v>
      </c>
      <c r="F14" s="80" t="s">
        <v>11</v>
      </c>
      <c r="G14" s="80" t="s">
        <v>12</v>
      </c>
      <c r="H14" s="299"/>
      <c r="I14" s="299"/>
      <c r="J14" s="299"/>
      <c r="K14" s="310" t="s">
        <v>19</v>
      </c>
      <c r="L14" s="311"/>
      <c r="M14" s="311"/>
      <c r="N14" s="311"/>
      <c r="O14" s="310" t="s">
        <v>20</v>
      </c>
      <c r="P14" s="311"/>
      <c r="Q14" s="311"/>
      <c r="R14" s="311"/>
      <c r="S14" s="7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2"/>
    </row>
    <row r="15" spans="2:35" ht="19.899999999999999" hidden="1" customHeight="1" thickBot="1" x14ac:dyDescent="0.35">
      <c r="B15" s="83" t="s">
        <v>21</v>
      </c>
      <c r="C15" s="92" t="s">
        <v>22</v>
      </c>
      <c r="D15" s="117"/>
      <c r="E15" s="118"/>
      <c r="F15" s="118"/>
      <c r="G15" s="118"/>
      <c r="H15" s="144"/>
      <c r="I15" s="380"/>
      <c r="J15" s="380"/>
      <c r="K15" s="307"/>
      <c r="L15" s="307"/>
      <c r="M15" s="307"/>
      <c r="N15" s="307"/>
      <c r="O15" s="307"/>
      <c r="P15" s="307"/>
      <c r="Q15" s="307"/>
      <c r="R15" s="307"/>
      <c r="S15" s="8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2:35" ht="19.899999999999999" hidden="1" customHeight="1" thickBot="1" x14ac:dyDescent="0.35">
      <c r="B16" s="84" t="s">
        <v>23</v>
      </c>
      <c r="C16" s="91" t="s">
        <v>24</v>
      </c>
      <c r="D16" s="379"/>
      <c r="E16" s="380"/>
      <c r="F16" s="380"/>
      <c r="G16" s="380"/>
      <c r="H16" s="380"/>
      <c r="I16" s="380"/>
      <c r="J16" s="380"/>
      <c r="K16" s="307"/>
      <c r="L16" s="307"/>
      <c r="M16" s="307"/>
      <c r="N16" s="307"/>
      <c r="O16" s="307"/>
      <c r="P16" s="307"/>
      <c r="Q16" s="307"/>
      <c r="R16" s="307"/>
      <c r="S16" s="8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2:35" ht="19.899999999999999" hidden="1" customHeight="1" thickBot="1" x14ac:dyDescent="0.35">
      <c r="B17" s="84" t="s">
        <v>25</v>
      </c>
      <c r="C17" s="91" t="s">
        <v>26</v>
      </c>
      <c r="D17" s="379"/>
      <c r="E17" s="380"/>
      <c r="F17" s="380"/>
      <c r="G17" s="380"/>
      <c r="H17" s="380"/>
      <c r="I17" s="380"/>
      <c r="J17" s="380"/>
      <c r="K17" s="307"/>
      <c r="L17" s="307"/>
      <c r="M17" s="307"/>
      <c r="N17" s="307"/>
      <c r="O17" s="307"/>
      <c r="P17" s="307"/>
      <c r="Q17" s="307"/>
      <c r="R17" s="307"/>
      <c r="S17" s="8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2:35" ht="19.899999999999999" hidden="1" customHeight="1" thickBot="1" x14ac:dyDescent="0.35">
      <c r="B18" s="84" t="s">
        <v>27</v>
      </c>
      <c r="C18" s="91" t="s">
        <v>28</v>
      </c>
      <c r="D18" s="379"/>
      <c r="E18" s="380"/>
      <c r="F18" s="380"/>
      <c r="G18" s="380"/>
      <c r="H18" s="380"/>
      <c r="I18" s="380"/>
      <c r="J18" s="380"/>
      <c r="K18" s="307"/>
      <c r="L18" s="307"/>
      <c r="M18" s="307"/>
      <c r="N18" s="307"/>
      <c r="O18" s="307"/>
      <c r="P18" s="307"/>
      <c r="Q18" s="307"/>
      <c r="R18" s="307"/>
      <c r="S18" s="81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2:35" ht="19.899999999999999" customHeight="1" thickBot="1" x14ac:dyDescent="0.35">
      <c r="B19" s="74"/>
      <c r="C19" s="74"/>
    </row>
    <row r="20" spans="2:35" s="75" customFormat="1" ht="19.899999999999999" customHeight="1" x14ac:dyDescent="0.3">
      <c r="B20" s="211">
        <f ca="1">DATE(CalendarYear,4,1)</f>
        <v>46113</v>
      </c>
      <c r="C20" s="77"/>
      <c r="D20" s="213" t="s">
        <v>5</v>
      </c>
      <c r="E20" s="214"/>
      <c r="F20" s="214"/>
      <c r="G20" s="214"/>
      <c r="H20" s="145" t="s">
        <v>6</v>
      </c>
      <c r="I20" s="146"/>
      <c r="J20" s="146"/>
      <c r="K20" s="147"/>
      <c r="L20" s="213" t="s">
        <v>7</v>
      </c>
      <c r="M20" s="214"/>
      <c r="N20" s="214"/>
      <c r="O20" s="215"/>
      <c r="P20" s="213" t="s">
        <v>8</v>
      </c>
      <c r="Q20" s="214"/>
      <c r="R20" s="214"/>
      <c r="S20" s="215"/>
      <c r="T20" s="213" t="s">
        <v>39</v>
      </c>
      <c r="U20" s="214"/>
      <c r="V20" s="214"/>
      <c r="W20" s="215"/>
      <c r="X20" s="9">
        <f ca="1">IF(DAY(AprSun1)=1,IF(AND(YEAR(AprSun1+19)=CalendarYear,MONTH(AprSun1+19)=4),AprSun1+19,""),IF(AND(YEAR(AprSun1+26)=CalendarYear,MONTH(AprSun1+26)=4),AprSun1+26,""))</f>
        <v>46135</v>
      </c>
      <c r="Y20" s="9">
        <f ca="1">IF(DAY(AprSun1)=1,IF(AND(YEAR(AprSun1+20)=CalendarYear,MONTH(AprSun1+20)=4),AprSun1+20,""),IF(AND(YEAR(AprSun1+27)=CalendarYear,MONTH(AprSun1+27)=4),AprSun1+27,""))</f>
        <v>46136</v>
      </c>
      <c r="Z20" s="9">
        <f ca="1">IF(DAY(AprSun1)=1,IF(AND(YEAR(AprSun1+21)=CalendarYear,MONTH(AprSun1+21)=4),AprSun1+21,""),IF(AND(YEAR(AprSun1+28)=CalendarYear,MONTH(AprSun1+28)=4),AprSun1+28,""))</f>
        <v>46137</v>
      </c>
      <c r="AA20" s="9">
        <f ca="1">IF(DAY(AprSun1)=1,IF(AND(YEAR(AprSun1+22)=CalendarYear,MONTH(AprSun1+22)=4),AprSun1+22,""),IF(AND(YEAR(AprSun1+29)=CalendarYear,MONTH(AprSun1+29)=4),AprSun1+29,""))</f>
        <v>46138</v>
      </c>
      <c r="AB20" s="9">
        <f ca="1">IF(DAY(AprSun1)=1,IF(AND(YEAR(AprSun1+23)=CalendarYear,MONTH(AprSun1+23)=4),AprSun1+23,""),IF(AND(YEAR(AprSun1+30)=CalendarYear,MONTH(AprSun1+30)=4),AprSun1+30,""))</f>
        <v>46139</v>
      </c>
      <c r="AC20" s="9">
        <f ca="1">IF(DAY(AprSun1)=1,IF(AND(YEAR(AprSun1+24)=CalendarYear,MONTH(AprSun1+24)=4),AprSun1+24,""),IF(AND(YEAR(AprSun1+31)=CalendarYear,MONTH(AprSun1+31)=4),AprSun1+31,""))</f>
        <v>46140</v>
      </c>
      <c r="AD20" s="9">
        <f ca="1">IF(DAY(AprSun1)=1,IF(AND(YEAR(AprSun1+25)=CalendarYear,MONTH(AprSun1+25)=4),AprSun1+25,""),IF(AND(YEAR(AprSun1+32)=CalendarYear,MONTH(AprSun1+32)=4),AprSun1+32,""))</f>
        <v>46141</v>
      </c>
      <c r="AE20" s="9">
        <f ca="1">IF(DAY(AprSun1)=1,IF(AND(YEAR(AprSun1+26)=CalendarYear,MONTH(AprSun1+26)=4),AprSun1+26,""),IF(AND(YEAR(AprSun1+33)=CalendarYear,MONTH(AprSun1+33)=4),AprSun1+33,""))</f>
        <v>46142</v>
      </c>
      <c r="AF20" s="9" t="str">
        <f ca="1">IF(DAY(AprSun1)=1,IF(AND(YEAR(AprSun1+27)=CalendarYear,MONTH(AprSun1+27)=4),AprSun1+27,""),IF(AND(YEAR(AprSun1+34)=CalendarYear,MONTH(AprSun1+34)=4),AprSun1+34,""))</f>
        <v/>
      </c>
      <c r="AG20" s="9" t="str">
        <f ca="1">IF(DAY(AprSun1)=1,IF(AND(YEAR(AprSun1+28)=CalendarYear,MONTH(AprSun1+28)=4),AprSun1+28,""),IF(AND(YEAR(AprSun1+35)=CalendarYear,MONTH(AprSun1+35)=4),AprSun1+35,""))</f>
        <v/>
      </c>
      <c r="AH20" s="9" t="str">
        <f ca="1">IF(DAY(AprSun1)=1,IF(AND(YEAR(AprSun1+29)=CalendarYear,MONTH(AprSun1+29)=4),AprSun1+29,""),IF(AND(YEAR(AprSun1+36)=CalendarYear,MONTH(AprSun1+36)=4),AprSun1+36,""))</f>
        <v/>
      </c>
      <c r="AI20" s="11" t="str">
        <f ca="1">IF(DAY(AprSun1)=1,IF(AND(YEAR(AprSun1+30)=CalendarYear,MONTH(AprSun1+30)=4),AprSun1+30,""),IF(AND(YEAR(AprSun1+37)=CalendarYear,MONTH(AprSun1+37)=4),AprSun1+37,""))</f>
        <v/>
      </c>
    </row>
    <row r="21" spans="2:35" s="75" customFormat="1" ht="19.899999999999999" customHeight="1" x14ac:dyDescent="0.3">
      <c r="B21" s="212"/>
      <c r="C21" s="78"/>
      <c r="D21" s="318" t="s">
        <v>40</v>
      </c>
      <c r="E21" s="319"/>
      <c r="F21" s="319"/>
      <c r="G21" s="320"/>
      <c r="H21" s="149" t="s">
        <v>41</v>
      </c>
      <c r="I21" s="150"/>
      <c r="J21" s="150"/>
      <c r="K21" s="129"/>
      <c r="L21" s="318" t="s">
        <v>42</v>
      </c>
      <c r="M21" s="319"/>
      <c r="N21" s="319"/>
      <c r="O21" s="321"/>
      <c r="P21" s="318" t="s">
        <v>172</v>
      </c>
      <c r="Q21" s="319"/>
      <c r="R21" s="319"/>
      <c r="S21" s="321"/>
      <c r="T21" s="322" t="s">
        <v>44</v>
      </c>
      <c r="U21" s="226"/>
      <c r="V21" s="226"/>
      <c r="W21" s="323"/>
      <c r="X21" s="10" t="s">
        <v>16</v>
      </c>
      <c r="Y21" s="10" t="s">
        <v>13</v>
      </c>
      <c r="Z21" s="10" t="s">
        <v>14</v>
      </c>
      <c r="AA21" s="10" t="s">
        <v>15</v>
      </c>
      <c r="AB21" s="10" t="s">
        <v>9</v>
      </c>
      <c r="AC21" s="10" t="s">
        <v>10</v>
      </c>
      <c r="AD21" s="10" t="s">
        <v>11</v>
      </c>
      <c r="AE21" s="10" t="s">
        <v>16</v>
      </c>
      <c r="AF21" s="10" t="s">
        <v>13</v>
      </c>
      <c r="AG21" s="10" t="s">
        <v>14</v>
      </c>
      <c r="AH21" s="10" t="s">
        <v>15</v>
      </c>
      <c r="AI21" s="12" t="s">
        <v>9</v>
      </c>
    </row>
    <row r="22" spans="2:35" ht="19.899999999999999" customHeight="1" x14ac:dyDescent="0.3">
      <c r="B22" s="83" t="s">
        <v>21</v>
      </c>
      <c r="C22" s="92" t="s">
        <v>22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4"/>
      <c r="Q22" s="385"/>
      <c r="R22" s="385"/>
      <c r="S22" s="386"/>
      <c r="T22" s="384"/>
      <c r="U22" s="385"/>
      <c r="V22" s="385"/>
      <c r="W22" s="386"/>
      <c r="X22" s="6" t="str">
        <f t="shared" ref="X22:AI22" ca="1" si="3">IF(OR(NOT(ISNUMBER(X20)),X20&lt;Job1_StartDate),"",IF(MID(Job1_Pattern,MOD(X20-Job1_StartDate,LEN(Job1_Pattern))+1,1)=Job1_Shift1_Code,1,IF(MID(Job1_Pattern,MOD(X20-Job1_StartDate,LEN(Job1_Pattern))+1,1)=Job1_Shift2_Code,2,IF(MID(Job1_Pattern,MOD(X20-Job1_StartDate,LEN(Job1_Pattern))+1,1)=Job1_Shift3_Code,3,""))))</f>
        <v/>
      </c>
      <c r="Y22" s="6" t="str">
        <f t="shared" ca="1" si="3"/>
        <v/>
      </c>
      <c r="Z22" s="6" t="str">
        <f t="shared" ca="1" si="3"/>
        <v/>
      </c>
      <c r="AA22" s="6">
        <f t="shared" ca="1" si="3"/>
        <v>1</v>
      </c>
      <c r="AB22" s="6" t="str">
        <f t="shared" ca="1" si="3"/>
        <v/>
      </c>
      <c r="AC22" s="6" t="str">
        <f t="shared" ca="1" si="3"/>
        <v/>
      </c>
      <c r="AD22" s="6" t="str">
        <f t="shared" ca="1" si="3"/>
        <v/>
      </c>
      <c r="AE22" s="6">
        <f t="shared" ca="1" si="3"/>
        <v>1</v>
      </c>
      <c r="AF22" s="6" t="str">
        <f t="shared" ca="1" si="3"/>
        <v/>
      </c>
      <c r="AG22" s="6" t="str">
        <f t="shared" ca="1" si="3"/>
        <v/>
      </c>
      <c r="AH22" s="6" t="str">
        <f t="shared" ca="1" si="3"/>
        <v/>
      </c>
      <c r="AI22" s="6" t="str">
        <f t="shared" ca="1" si="3"/>
        <v/>
      </c>
    </row>
    <row r="23" spans="2:35" ht="19.899999999999999" customHeight="1" x14ac:dyDescent="0.3">
      <c r="B23" s="84" t="s">
        <v>23</v>
      </c>
      <c r="C23" s="91" t="s">
        <v>24</v>
      </c>
      <c r="D23" s="383"/>
      <c r="E23" s="383"/>
      <c r="F23" s="383"/>
      <c r="G23" s="383"/>
      <c r="H23" s="383">
        <v>100</v>
      </c>
      <c r="I23" s="383"/>
      <c r="J23" s="383"/>
      <c r="K23" s="383"/>
      <c r="L23" s="383">
        <v>100</v>
      </c>
      <c r="M23" s="383"/>
      <c r="N23" s="383"/>
      <c r="O23" s="383"/>
      <c r="P23" s="384">
        <v>100</v>
      </c>
      <c r="Q23" s="385"/>
      <c r="R23" s="385"/>
      <c r="S23" s="386"/>
      <c r="T23" s="384">
        <v>100</v>
      </c>
      <c r="U23" s="385"/>
      <c r="V23" s="385"/>
      <c r="W23" s="386"/>
      <c r="X23" s="7" t="str">
        <f t="shared" ref="X23:AI23" ca="1" si="4">IF(OR(NOT(ISNUMBER(X20)),X20&lt;Job2_StartDate),"",IF(MID(Job2_Pattern,MOD(X20-Job2_StartDate,LEN(Job2_Pattern))+1,1)=Job2_Shift1_Code,1,IF(MID(Job2_Pattern,MOD(X20-Job2_StartDate,LEN(Job2_Pattern))+1,1)=Job2_Shift2_Code,2,IF(MID(Job2_Pattern,MOD(X20-Job2_StartDate,LEN(Job2_Pattern))+1,1)=Job2_Shift3_Code,3,""))))</f>
        <v/>
      </c>
      <c r="Y23" s="7" t="str">
        <f t="shared" ca="1" si="4"/>
        <v/>
      </c>
      <c r="Z23" s="7">
        <f t="shared" ca="1" si="4"/>
        <v>2</v>
      </c>
      <c r="AA23" s="7" t="str">
        <f t="shared" ca="1" si="4"/>
        <v/>
      </c>
      <c r="AB23" s="7" t="str">
        <f t="shared" ca="1" si="4"/>
        <v/>
      </c>
      <c r="AC23" s="7" t="str">
        <f t="shared" ca="1" si="4"/>
        <v/>
      </c>
      <c r="AD23" s="7">
        <f t="shared" ca="1" si="4"/>
        <v>2</v>
      </c>
      <c r="AE23" s="7" t="str">
        <f t="shared" ca="1" si="4"/>
        <v/>
      </c>
      <c r="AF23" s="7" t="str">
        <f t="shared" ca="1" si="4"/>
        <v/>
      </c>
      <c r="AG23" s="7" t="str">
        <f t="shared" ca="1" si="4"/>
        <v/>
      </c>
      <c r="AH23" s="7" t="str">
        <f t="shared" ca="1" si="4"/>
        <v/>
      </c>
      <c r="AI23" s="7" t="str">
        <f t="shared" ca="1" si="4"/>
        <v/>
      </c>
    </row>
    <row r="24" spans="2:35" ht="19.899999999999999" customHeight="1" x14ac:dyDescent="0.3">
      <c r="B24" s="84" t="s">
        <v>25</v>
      </c>
      <c r="C24" s="91" t="s">
        <v>26</v>
      </c>
      <c r="D24" s="383"/>
      <c r="E24" s="383"/>
      <c r="F24" s="383"/>
      <c r="G24" s="383"/>
      <c r="H24" s="383">
        <v>100</v>
      </c>
      <c r="I24" s="383"/>
      <c r="J24" s="383"/>
      <c r="K24" s="383"/>
      <c r="L24" s="383"/>
      <c r="M24" s="383"/>
      <c r="N24" s="383"/>
      <c r="O24" s="383"/>
      <c r="P24" s="384" t="s">
        <v>193</v>
      </c>
      <c r="Q24" s="385"/>
      <c r="R24" s="385"/>
      <c r="S24" s="386"/>
      <c r="T24" s="384"/>
      <c r="U24" s="385"/>
      <c r="V24" s="385"/>
      <c r="W24" s="386"/>
      <c r="X24" s="7" t="str">
        <f t="shared" ref="X24:AI24" ca="1" si="5">IF(OR(NOT(ISNUMBER(X20)),X20&lt;Job3_StartDate),"",IF(MID(Job3_Pattern,MOD(X20-Job3_StartDate,LEN(Job3_Pattern))+1,1)=Job3_Shift1_Code,1,IF(MID(Job3_Pattern,MOD(X20-Job3_StartDate,LEN(Job3_Pattern))+1,1)=Job3_Shift2_Code,2,IF(MID(Job3_Pattern,MOD(X20-Job3_StartDate,LEN(Job3_Pattern))+1,1)=Job3_Shift3_Code,3,""))))</f>
        <v/>
      </c>
      <c r="Y24" s="7" t="str">
        <f t="shared" ca="1" si="5"/>
        <v/>
      </c>
      <c r="Z24" s="7" t="str">
        <f t="shared" ca="1" si="5"/>
        <v/>
      </c>
      <c r="AA24" s="7">
        <f t="shared" ca="1" si="5"/>
        <v>3</v>
      </c>
      <c r="AB24" s="7" t="str">
        <f t="shared" ca="1" si="5"/>
        <v/>
      </c>
      <c r="AC24" s="7" t="str">
        <f t="shared" ca="1" si="5"/>
        <v/>
      </c>
      <c r="AD24" s="7" t="str">
        <f t="shared" ca="1" si="5"/>
        <v/>
      </c>
      <c r="AE24" s="7">
        <f t="shared" ca="1" si="5"/>
        <v>3</v>
      </c>
      <c r="AF24" s="7" t="str">
        <f t="shared" ca="1" si="5"/>
        <v/>
      </c>
      <c r="AG24" s="7" t="str">
        <f t="shared" ca="1" si="5"/>
        <v/>
      </c>
      <c r="AH24" s="7" t="str">
        <f t="shared" ca="1" si="5"/>
        <v/>
      </c>
      <c r="AI24" s="7" t="str">
        <f t="shared" ca="1" si="5"/>
        <v/>
      </c>
    </row>
    <row r="25" spans="2:35" ht="19.899999999999999" customHeight="1" x14ac:dyDescent="0.3">
      <c r="B25" s="84" t="s">
        <v>27</v>
      </c>
      <c r="C25" s="91" t="s">
        <v>28</v>
      </c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  <c r="O25" s="383"/>
      <c r="P25" s="384">
        <v>100</v>
      </c>
      <c r="Q25" s="385"/>
      <c r="R25" s="385"/>
      <c r="S25" s="386"/>
      <c r="T25" s="384">
        <v>100</v>
      </c>
      <c r="U25" s="385"/>
      <c r="V25" s="385"/>
      <c r="W25" s="386"/>
    </row>
    <row r="26" spans="2:35" ht="19.899999999999999" customHeight="1" x14ac:dyDescent="0.3">
      <c r="B26" s="148"/>
      <c r="C26" s="12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2:35" ht="19.899999999999999" customHeight="1" thickBot="1" x14ac:dyDescent="0.35">
      <c r="B27" s="110"/>
      <c r="C27" s="111"/>
      <c r="D27" s="17"/>
      <c r="E27" s="17"/>
      <c r="F27" s="17"/>
      <c r="G27" s="17"/>
    </row>
    <row r="28" spans="2:35" s="75" customFormat="1" ht="19.899999999999999" customHeight="1" x14ac:dyDescent="0.3">
      <c r="B28" s="211">
        <f ca="1">DATE(CalendarYear,5,1)</f>
        <v>46143</v>
      </c>
      <c r="C28" s="77"/>
      <c r="D28" s="213" t="s">
        <v>5</v>
      </c>
      <c r="E28" s="214"/>
      <c r="F28" s="214"/>
      <c r="G28" s="214"/>
      <c r="H28" s="213" t="s">
        <v>6</v>
      </c>
      <c r="I28" s="214"/>
      <c r="J28" s="214"/>
      <c r="K28" s="215"/>
      <c r="L28" s="213" t="s">
        <v>7</v>
      </c>
      <c r="M28" s="214"/>
      <c r="N28" s="214"/>
      <c r="O28" s="215"/>
      <c r="P28" s="213" t="s">
        <v>8</v>
      </c>
      <c r="Q28" s="214"/>
      <c r="R28" s="214"/>
      <c r="S28" s="215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2:35" s="75" customFormat="1" ht="19.899999999999999" customHeight="1" x14ac:dyDescent="0.3">
      <c r="B29" s="212"/>
      <c r="C29" s="78"/>
      <c r="D29" s="318" t="s">
        <v>195</v>
      </c>
      <c r="E29" s="319"/>
      <c r="F29" s="319"/>
      <c r="G29" s="320"/>
      <c r="H29" s="318" t="s">
        <v>46</v>
      </c>
      <c r="I29" s="319"/>
      <c r="J29" s="319"/>
      <c r="K29" s="321"/>
      <c r="L29" s="318" t="s">
        <v>47</v>
      </c>
      <c r="M29" s="319"/>
      <c r="N29" s="319"/>
      <c r="O29" s="321"/>
      <c r="P29" s="318" t="s">
        <v>48</v>
      </c>
      <c r="Q29" s="319"/>
      <c r="R29" s="319"/>
      <c r="S29" s="321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2"/>
    </row>
    <row r="30" spans="2:35" ht="19.899999999999999" customHeight="1" x14ac:dyDescent="0.3">
      <c r="B30" s="83" t="s">
        <v>21</v>
      </c>
      <c r="C30" s="101" t="s">
        <v>22</v>
      </c>
      <c r="D30" s="373"/>
      <c r="E30" s="381"/>
      <c r="F30" s="381"/>
      <c r="G30" s="374"/>
      <c r="H30" s="373"/>
      <c r="I30" s="381"/>
      <c r="J30" s="381"/>
      <c r="K30" s="374"/>
      <c r="L30" s="373"/>
      <c r="M30" s="381"/>
      <c r="N30" s="381"/>
      <c r="O30" s="374"/>
      <c r="P30" s="373"/>
      <c r="Q30" s="381"/>
      <c r="R30" s="381"/>
      <c r="S30" s="374"/>
      <c r="T30" s="6" t="str">
        <f t="shared" ref="T30:AI30" ca="1" si="6">IF(OR(NOT(ISNUMBER(T28)),T28&lt;Job1_StartDate),"",IF(MID(Job1_Pattern,MOD(T28-Job1_StartDate,LEN(Job1_Pattern))+1,1)=Job1_Shift1_Code,1,IF(MID(Job1_Pattern,MOD(T28-Job1_StartDate,LEN(Job1_Pattern))+1,1)=Job1_Shift2_Code,2,IF(MID(Job1_Pattern,MOD(T28-Job1_StartDate,LEN(Job1_Pattern))+1,1)=Job1_Shift3_Code,3,""))))</f>
        <v/>
      </c>
      <c r="U30" s="6" t="str">
        <f t="shared" ca="1" si="6"/>
        <v/>
      </c>
      <c r="V30" s="6" t="str">
        <f t="shared" ca="1" si="6"/>
        <v/>
      </c>
      <c r="W30" s="6" t="str">
        <f t="shared" ca="1" si="6"/>
        <v/>
      </c>
      <c r="X30" s="6" t="str">
        <f t="shared" ca="1" si="6"/>
        <v/>
      </c>
      <c r="Y30" s="6" t="str">
        <f t="shared" ca="1" si="6"/>
        <v/>
      </c>
      <c r="Z30" s="6" t="str">
        <f t="shared" ca="1" si="6"/>
        <v/>
      </c>
      <c r="AA30" s="6" t="str">
        <f t="shared" ca="1" si="6"/>
        <v/>
      </c>
      <c r="AB30" s="6" t="str">
        <f t="shared" ca="1" si="6"/>
        <v/>
      </c>
      <c r="AC30" s="6" t="str">
        <f t="shared" ca="1" si="6"/>
        <v/>
      </c>
      <c r="AD30" s="6" t="str">
        <f t="shared" ca="1" si="6"/>
        <v/>
      </c>
      <c r="AE30" s="6" t="str">
        <f t="shared" ca="1" si="6"/>
        <v/>
      </c>
      <c r="AF30" s="6" t="str">
        <f t="shared" ca="1" si="6"/>
        <v/>
      </c>
      <c r="AG30" s="6" t="str">
        <f t="shared" ca="1" si="6"/>
        <v/>
      </c>
      <c r="AH30" s="6" t="str">
        <f t="shared" ca="1" si="6"/>
        <v/>
      </c>
      <c r="AI30" s="6" t="str">
        <f t="shared" ca="1" si="6"/>
        <v/>
      </c>
    </row>
    <row r="31" spans="2:35" ht="19.899999999999999" customHeight="1" x14ac:dyDescent="0.3">
      <c r="B31" s="84"/>
      <c r="C31" s="102" t="s">
        <v>24</v>
      </c>
      <c r="D31" s="373"/>
      <c r="E31" s="381"/>
      <c r="F31" s="381"/>
      <c r="G31" s="374"/>
      <c r="H31" s="373"/>
      <c r="I31" s="381"/>
      <c r="J31" s="381"/>
      <c r="K31" s="374"/>
      <c r="L31" s="373"/>
      <c r="M31" s="381"/>
      <c r="N31" s="381"/>
      <c r="O31" s="374"/>
      <c r="P31" s="373"/>
      <c r="Q31" s="381"/>
      <c r="R31" s="381"/>
      <c r="S31" s="374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2:35" ht="19.899999999999999" customHeight="1" x14ac:dyDescent="0.3">
      <c r="B32" s="84" t="s">
        <v>25</v>
      </c>
      <c r="C32" s="102" t="s">
        <v>26</v>
      </c>
      <c r="D32" s="373" t="s">
        <v>257</v>
      </c>
      <c r="E32" s="381"/>
      <c r="F32" s="381"/>
      <c r="G32" s="374"/>
      <c r="H32" s="373"/>
      <c r="I32" s="381"/>
      <c r="J32" s="381"/>
      <c r="K32" s="374"/>
      <c r="L32" s="373" t="s">
        <v>49</v>
      </c>
      <c r="M32" s="381"/>
      <c r="N32" s="381"/>
      <c r="O32" s="374"/>
      <c r="P32" s="373" t="s">
        <v>49</v>
      </c>
      <c r="Q32" s="381"/>
      <c r="R32" s="381"/>
      <c r="S32" s="374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2:35" ht="19.899999999999999" customHeight="1" x14ac:dyDescent="0.3">
      <c r="B33" s="84" t="s">
        <v>27</v>
      </c>
      <c r="C33" s="102" t="s">
        <v>28</v>
      </c>
      <c r="D33" s="373"/>
      <c r="E33" s="381"/>
      <c r="F33" s="381"/>
      <c r="G33" s="374"/>
      <c r="H33" s="373" t="s">
        <v>49</v>
      </c>
      <c r="I33" s="381"/>
      <c r="J33" s="381"/>
      <c r="K33" s="374"/>
      <c r="L33" s="373" t="s">
        <v>49</v>
      </c>
      <c r="M33" s="381"/>
      <c r="N33" s="381"/>
      <c r="O33" s="374"/>
      <c r="P33" s="373" t="s">
        <v>49</v>
      </c>
      <c r="Q33" s="381"/>
      <c r="R33" s="381"/>
      <c r="S33" s="374"/>
      <c r="T33" s="7" t="str">
        <f t="shared" ref="T33:AI33" ca="1" si="7">IF(OR(NOT(ISNUMBER(T28)),T28&lt;Job2_StartDate),"",IF(MID(Job2_Pattern,MOD(T28-Job2_StartDate,LEN(Job2_Pattern))+1,1)=Job2_Shift1_Code,1,IF(MID(Job2_Pattern,MOD(T28-Job2_StartDate,LEN(Job2_Pattern))+1,1)=Job2_Shift2_Code,2,IF(MID(Job2_Pattern,MOD(T28-Job2_StartDate,LEN(Job2_Pattern))+1,1)=Job2_Shift3_Code,3,""))))</f>
        <v/>
      </c>
      <c r="U33" s="7" t="str">
        <f t="shared" ca="1" si="7"/>
        <v/>
      </c>
      <c r="V33" s="7" t="str">
        <f t="shared" ca="1" si="7"/>
        <v/>
      </c>
      <c r="W33" s="7" t="str">
        <f t="shared" ca="1" si="7"/>
        <v/>
      </c>
      <c r="X33" s="7" t="str">
        <f t="shared" ca="1" si="7"/>
        <v/>
      </c>
      <c r="Y33" s="7" t="str">
        <f t="shared" ca="1" si="7"/>
        <v/>
      </c>
      <c r="Z33" s="7" t="str">
        <f t="shared" ca="1" si="7"/>
        <v/>
      </c>
      <c r="AA33" s="7" t="str">
        <f t="shared" ca="1" si="7"/>
        <v/>
      </c>
      <c r="AB33" s="7" t="str">
        <f t="shared" ca="1" si="7"/>
        <v/>
      </c>
      <c r="AC33" s="7" t="str">
        <f t="shared" ca="1" si="7"/>
        <v/>
      </c>
      <c r="AD33" s="7" t="str">
        <f t="shared" ca="1" si="7"/>
        <v/>
      </c>
      <c r="AE33" s="7" t="str">
        <f t="shared" ca="1" si="7"/>
        <v/>
      </c>
      <c r="AF33" s="7" t="str">
        <f t="shared" ca="1" si="7"/>
        <v/>
      </c>
      <c r="AG33" s="7" t="str">
        <f t="shared" ca="1" si="7"/>
        <v/>
      </c>
      <c r="AH33" s="7" t="str">
        <f t="shared" ca="1" si="7"/>
        <v/>
      </c>
      <c r="AI33" s="7" t="str">
        <f t="shared" ca="1" si="7"/>
        <v/>
      </c>
    </row>
    <row r="34" spans="2:35" ht="19.899999999999999" customHeight="1" x14ac:dyDescent="0.3">
      <c r="B34" s="84" t="s">
        <v>136</v>
      </c>
      <c r="C34" s="102" t="s">
        <v>26</v>
      </c>
      <c r="D34" s="373"/>
      <c r="E34" s="381"/>
      <c r="F34" s="381"/>
      <c r="G34" s="374"/>
      <c r="H34" s="373">
        <v>100</v>
      </c>
      <c r="I34" s="381"/>
      <c r="J34" s="381"/>
      <c r="K34" s="374"/>
      <c r="L34" s="373"/>
      <c r="M34" s="381"/>
      <c r="N34" s="381"/>
      <c r="O34" s="374"/>
      <c r="P34" s="373"/>
      <c r="Q34" s="381"/>
      <c r="R34" s="381"/>
      <c r="S34" s="374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2:35" ht="19.899999999999999" customHeight="1" x14ac:dyDescent="0.3">
      <c r="B35" s="72" t="s">
        <v>135</v>
      </c>
      <c r="C35" s="84" t="s">
        <v>182</v>
      </c>
      <c r="D35" s="373"/>
      <c r="E35" s="381"/>
      <c r="F35" s="381"/>
      <c r="G35" s="374"/>
      <c r="H35" s="373" t="s">
        <v>49</v>
      </c>
      <c r="I35" s="381"/>
      <c r="J35" s="381"/>
      <c r="K35" s="374"/>
      <c r="L35" s="373" t="s">
        <v>49</v>
      </c>
      <c r="M35" s="381"/>
      <c r="N35" s="381"/>
      <c r="O35" s="374"/>
      <c r="P35" s="373" t="s">
        <v>49</v>
      </c>
      <c r="Q35" s="381"/>
      <c r="R35" s="381"/>
      <c r="S35" s="374"/>
      <c r="T35" s="7" t="str">
        <f t="shared" ref="T35:AI35" ca="1" si="8">IF(OR(NOT(ISNUMBER(T28)),T28&lt;Job3_StartDate),"",IF(MID(Job3_Pattern,MOD(T28-Job3_StartDate,LEN(Job3_Pattern))+1,1)=Job3_Shift1_Code,1,IF(MID(Job3_Pattern,MOD(T28-Job3_StartDate,LEN(Job3_Pattern))+1,1)=Job3_Shift2_Code,2,IF(MID(Job3_Pattern,MOD(T28-Job3_StartDate,LEN(Job3_Pattern))+1,1)=Job3_Shift3_Code,3,""))))</f>
        <v/>
      </c>
      <c r="U35" s="7" t="str">
        <f t="shared" ca="1" si="8"/>
        <v/>
      </c>
      <c r="V35" s="7" t="str">
        <f t="shared" ca="1" si="8"/>
        <v/>
      </c>
      <c r="W35" s="7" t="str">
        <f t="shared" ca="1" si="8"/>
        <v/>
      </c>
      <c r="X35" s="7" t="str">
        <f t="shared" ca="1" si="8"/>
        <v/>
      </c>
      <c r="Y35" s="7" t="str">
        <f t="shared" ca="1" si="8"/>
        <v/>
      </c>
      <c r="Z35" s="7" t="str">
        <f t="shared" ca="1" si="8"/>
        <v/>
      </c>
      <c r="AA35" s="7" t="str">
        <f t="shared" ca="1" si="8"/>
        <v/>
      </c>
      <c r="AB35" s="7" t="str">
        <f t="shared" ca="1" si="8"/>
        <v/>
      </c>
      <c r="AC35" s="7" t="str">
        <f t="shared" ca="1" si="8"/>
        <v/>
      </c>
      <c r="AD35" s="7" t="str">
        <f t="shared" ca="1" si="8"/>
        <v/>
      </c>
      <c r="AE35" s="7" t="str">
        <f t="shared" ca="1" si="8"/>
        <v/>
      </c>
      <c r="AF35" s="7" t="str">
        <f t="shared" ca="1" si="8"/>
        <v/>
      </c>
      <c r="AG35" s="7" t="str">
        <f t="shared" ca="1" si="8"/>
        <v/>
      </c>
      <c r="AH35" s="7" t="str">
        <f t="shared" ca="1" si="8"/>
        <v/>
      </c>
      <c r="AI35" s="7" t="str">
        <f t="shared" ca="1" si="8"/>
        <v/>
      </c>
    </row>
    <row r="36" spans="2:35" ht="19.899999999999999" customHeight="1" thickBot="1" x14ac:dyDescent="0.35">
      <c r="B36" s="74"/>
      <c r="C36" s="74"/>
    </row>
    <row r="37" spans="2:35" s="75" customFormat="1" ht="19.899999999999999" customHeight="1" x14ac:dyDescent="0.3">
      <c r="B37" s="211">
        <f ca="1">DATE(CalendarYear,6,1)</f>
        <v>46174</v>
      </c>
      <c r="C37" s="77"/>
      <c r="D37" s="213" t="s">
        <v>5</v>
      </c>
      <c r="E37" s="214"/>
      <c r="F37" s="214"/>
      <c r="G37" s="214"/>
      <c r="H37" s="330" t="s">
        <v>6</v>
      </c>
      <c r="I37" s="331"/>
      <c r="J37" s="331"/>
      <c r="K37" s="331"/>
      <c r="L37" s="330" t="s">
        <v>7</v>
      </c>
      <c r="M37" s="331"/>
      <c r="N37" s="331"/>
      <c r="O37" s="331"/>
      <c r="P37" s="330" t="s">
        <v>8</v>
      </c>
      <c r="Q37" s="331"/>
      <c r="R37" s="331"/>
      <c r="S37" s="331"/>
      <c r="T37" s="9">
        <f ca="1">IF(DAY(JunSun1)=1,IF(AND(YEAR(JunSun1+15)=CalendarYear,MONTH(JunSun1+15)=6),JunSun1+15,""),IF(AND(YEAR(JunSun1+22)=CalendarYear,MONTH(JunSun1+22)=6),JunSun1+22,""))</f>
        <v>46194</v>
      </c>
      <c r="U37" s="9">
        <f ca="1">IF(DAY(JunSun1)=1,IF(AND(YEAR(JunSun1+16)=CalendarYear,MONTH(JunSun1+16)=6),JunSun1+16,""),IF(AND(YEAR(JunSun1+23)=CalendarYear,MONTH(JunSun1+23)=6),JunSun1+23,""))</f>
        <v>46195</v>
      </c>
      <c r="V37" s="9">
        <f ca="1">IF(DAY(JunSun1)=1,IF(AND(YEAR(JunSun1+17)=CalendarYear,MONTH(JunSun1+17)=6),JunSun1+17,""),IF(AND(YEAR(JunSun1+24)=CalendarYear,MONTH(JunSun1+24)=6),JunSun1+24,""))</f>
        <v>46196</v>
      </c>
      <c r="W37" s="9">
        <f ca="1">IF(DAY(JunSun1)=1,IF(AND(YEAR(JunSun1+18)=CalendarYear,MONTH(JunSun1+18)=6),JunSun1+18,""),IF(AND(YEAR(JunSun1+25)=CalendarYear,MONTH(JunSun1+25)=6),JunSun1+25,""))</f>
        <v>46197</v>
      </c>
      <c r="X37" s="9">
        <f ca="1">IF(DAY(JunSun1)=1,IF(AND(YEAR(JunSun1+19)=CalendarYear,MONTH(JunSun1+19)=6),JunSun1+19,""),IF(AND(YEAR(JunSun1+26)=CalendarYear,MONTH(JunSun1+26)=6),JunSun1+26,""))</f>
        <v>46198</v>
      </c>
      <c r="Y37" s="9">
        <f ca="1">IF(DAY(JunSun1)=1,IF(AND(YEAR(JunSun1+20)=CalendarYear,MONTH(JunSun1+20)=6),JunSun1+20,""),IF(AND(YEAR(JunSun1+27)=CalendarYear,MONTH(JunSun1+27)=6),JunSun1+27,""))</f>
        <v>46199</v>
      </c>
      <c r="Z37" s="9">
        <f ca="1">IF(DAY(JunSun1)=1,IF(AND(YEAR(JunSun1+21)=CalendarYear,MONTH(JunSun1+21)=6),JunSun1+21,""),IF(AND(YEAR(JunSun1+28)=CalendarYear,MONTH(JunSun1+28)=6),JunSun1+28,""))</f>
        <v>46200</v>
      </c>
      <c r="AA37" s="9">
        <f ca="1">IF(DAY(JunSun1)=1,IF(AND(YEAR(JunSun1+22)=CalendarYear,MONTH(JunSun1+22)=6),JunSun1+22,""),IF(AND(YEAR(JunSun1+29)=CalendarYear,MONTH(JunSun1+29)=6),JunSun1+29,""))</f>
        <v>46201</v>
      </c>
      <c r="AB37" s="9">
        <f ca="1">IF(DAY(JunSun1)=1,IF(AND(YEAR(JunSun1+23)=CalendarYear,MONTH(JunSun1+23)=6),JunSun1+23,""),IF(AND(YEAR(JunSun1+30)=CalendarYear,MONTH(JunSun1+30)=6),JunSun1+30,""))</f>
        <v>46202</v>
      </c>
      <c r="AC37" s="9">
        <f ca="1">IF(DAY(JunSun1)=1,IF(AND(YEAR(JunSun1+24)=CalendarYear,MONTH(JunSun1+24)=6),JunSun1+24,""),IF(AND(YEAR(JunSun1+31)=CalendarYear,MONTH(JunSun1+31)=6),JunSun1+31,""))</f>
        <v>46203</v>
      </c>
      <c r="AD37" s="9" t="str">
        <f ca="1">IF(DAY(JunSun1)=1,IF(AND(YEAR(JunSun1+25)=CalendarYear,MONTH(JunSun1+25)=6),JunSun1+25,""),IF(AND(YEAR(JunSun1+32)=CalendarYear,MONTH(JunSun1+32)=6),JunSun1+32,""))</f>
        <v/>
      </c>
      <c r="AE37" s="9" t="str">
        <f ca="1">IF(DAY(JunSun1)=1,IF(AND(YEAR(JunSun1+26)=CalendarYear,MONTH(JunSun1+26)=6),JunSun1+26,""),IF(AND(YEAR(JunSun1+33)=CalendarYear,MONTH(JunSun1+33)=6),JunSun1+33,""))</f>
        <v/>
      </c>
      <c r="AF37" s="9" t="str">
        <f ca="1">IF(DAY(JunSun1)=1,IF(AND(YEAR(JunSun1+27)=CalendarYear,MONTH(JunSun1+27)=6),JunSun1+27,""),IF(AND(YEAR(JunSun1+34)=CalendarYear,MONTH(JunSun1+34)=6),JunSun1+34,""))</f>
        <v/>
      </c>
      <c r="AG37" s="9" t="str">
        <f ca="1">IF(DAY(JunSun1)=1,IF(AND(YEAR(JunSun1+28)=CalendarYear,MONTH(JunSun1+28)=6),JunSun1+28,""),IF(AND(YEAR(JunSun1+35)=CalendarYear,MONTH(JunSun1+35)=6),JunSun1+35,""))</f>
        <v/>
      </c>
      <c r="AH37" s="9" t="str">
        <f ca="1">IF(DAY(JunSun1)=1,IF(AND(YEAR(JunSun1+29)=CalendarYear,MONTH(JunSun1+29)=6),JunSun1+29,""),IF(AND(YEAR(JunSun1+36)=CalendarYear,MONTH(JunSun1+36)=6),JunSun1+36,""))</f>
        <v/>
      </c>
      <c r="AI37" s="11" t="str">
        <f ca="1">IF(DAY(JunSun1)=1,IF(AND(YEAR(JunSun1+30)=CalendarYear,MONTH(JunSun1+30)=6),JunSun1+30,""),IF(AND(YEAR(JunSun1+37)=CalendarYear,MONTH(JunSun1+37)=6),JunSun1+37,""))</f>
        <v/>
      </c>
    </row>
    <row r="38" spans="2:35" s="75" customFormat="1" ht="19.899999999999999" customHeight="1" x14ac:dyDescent="0.3">
      <c r="B38" s="212"/>
      <c r="C38" s="78"/>
      <c r="D38" s="332" t="s">
        <v>52</v>
      </c>
      <c r="E38" s="319"/>
      <c r="F38" s="319"/>
      <c r="G38" s="319"/>
      <c r="H38" s="332" t="s">
        <v>53</v>
      </c>
      <c r="I38" s="319"/>
      <c r="J38" s="319"/>
      <c r="K38" s="319"/>
      <c r="L38" s="332" t="s">
        <v>54</v>
      </c>
      <c r="M38" s="319"/>
      <c r="N38" s="319"/>
      <c r="O38" s="319"/>
      <c r="P38" s="332" t="s">
        <v>55</v>
      </c>
      <c r="Q38" s="319"/>
      <c r="R38" s="319"/>
      <c r="S38" s="319"/>
      <c r="T38" s="10" t="s">
        <v>15</v>
      </c>
      <c r="U38" s="10" t="s">
        <v>9</v>
      </c>
      <c r="V38" s="10" t="s">
        <v>10</v>
      </c>
      <c r="W38" s="10" t="s">
        <v>11</v>
      </c>
      <c r="X38" s="10" t="s">
        <v>16</v>
      </c>
      <c r="Y38" s="10" t="s">
        <v>13</v>
      </c>
      <c r="Z38" s="10" t="s">
        <v>14</v>
      </c>
      <c r="AA38" s="10" t="s">
        <v>15</v>
      </c>
      <c r="AB38" s="10" t="s">
        <v>9</v>
      </c>
      <c r="AC38" s="10" t="s">
        <v>10</v>
      </c>
      <c r="AD38" s="10" t="s">
        <v>11</v>
      </c>
      <c r="AE38" s="10" t="s">
        <v>16</v>
      </c>
      <c r="AF38" s="10" t="s">
        <v>13</v>
      </c>
      <c r="AG38" s="10" t="s">
        <v>14</v>
      </c>
      <c r="AH38" s="10" t="s">
        <v>15</v>
      </c>
      <c r="AI38" s="12" t="s">
        <v>9</v>
      </c>
    </row>
    <row r="39" spans="2:35" ht="19.899999999999999" customHeight="1" x14ac:dyDescent="0.3">
      <c r="B39" s="83" t="s">
        <v>21</v>
      </c>
      <c r="C39" s="101" t="s">
        <v>22</v>
      </c>
      <c r="D39" s="373"/>
      <c r="E39" s="381"/>
      <c r="F39" s="381"/>
      <c r="G39" s="374"/>
      <c r="H39" s="373"/>
      <c r="I39" s="381"/>
      <c r="J39" s="381"/>
      <c r="K39" s="374"/>
      <c r="L39" s="373"/>
      <c r="M39" s="381"/>
      <c r="N39" s="381"/>
      <c r="O39" s="374"/>
      <c r="P39" s="373"/>
      <c r="Q39" s="381"/>
      <c r="R39" s="381"/>
      <c r="S39" s="374"/>
      <c r="T39" s="6">
        <f t="shared" ref="T39:AI39" ca="1" si="9">IF(OR(NOT(ISNUMBER(T37)),T37&lt;Job1_StartDate),"",IF(MID(Job1_Pattern,MOD(T37-Job1_StartDate,LEN(Job1_Pattern))+1,1)=Job1_Shift1_Code,1,IF(MID(Job1_Pattern,MOD(T37-Job1_StartDate,LEN(Job1_Pattern))+1,1)=Job1_Shift2_Code,2,IF(MID(Job1_Pattern,MOD(T37-Job1_StartDate,LEN(Job1_Pattern))+1,1)=Job1_Shift3_Code,3,""))))</f>
        <v>1</v>
      </c>
      <c r="U39" s="6" t="str">
        <f t="shared" ca="1" si="9"/>
        <v/>
      </c>
      <c r="V39" s="6" t="str">
        <f t="shared" ca="1" si="9"/>
        <v/>
      </c>
      <c r="W39" s="6" t="str">
        <f t="shared" ca="1" si="9"/>
        <v/>
      </c>
      <c r="X39" s="6">
        <f t="shared" ca="1" si="9"/>
        <v>1</v>
      </c>
      <c r="Y39" s="6" t="str">
        <f t="shared" ca="1" si="9"/>
        <v/>
      </c>
      <c r="Z39" s="6" t="str">
        <f t="shared" ca="1" si="9"/>
        <v/>
      </c>
      <c r="AA39" s="6" t="str">
        <f t="shared" ca="1" si="9"/>
        <v/>
      </c>
      <c r="AB39" s="6">
        <f t="shared" ca="1" si="9"/>
        <v>1</v>
      </c>
      <c r="AC39" s="6" t="str">
        <f t="shared" ca="1" si="9"/>
        <v/>
      </c>
      <c r="AD39" s="6" t="str">
        <f t="shared" ca="1" si="9"/>
        <v/>
      </c>
      <c r="AE39" s="6" t="str">
        <f t="shared" ca="1" si="9"/>
        <v/>
      </c>
      <c r="AF39" s="6" t="str">
        <f t="shared" ca="1" si="9"/>
        <v/>
      </c>
      <c r="AG39" s="6" t="str">
        <f t="shared" ca="1" si="9"/>
        <v/>
      </c>
      <c r="AH39" s="6" t="str">
        <f t="shared" ca="1" si="9"/>
        <v/>
      </c>
      <c r="AI39" s="6" t="str">
        <f t="shared" ca="1" si="9"/>
        <v/>
      </c>
    </row>
    <row r="40" spans="2:35" ht="19.899999999999999" customHeight="1" x14ac:dyDescent="0.3">
      <c r="B40" s="84" t="s">
        <v>25</v>
      </c>
      <c r="C40" s="102" t="s">
        <v>26</v>
      </c>
      <c r="D40" s="373" t="s">
        <v>49</v>
      </c>
      <c r="E40" s="381"/>
      <c r="F40" s="381"/>
      <c r="G40" s="374"/>
      <c r="H40" s="373" t="s">
        <v>49</v>
      </c>
      <c r="I40" s="381"/>
      <c r="J40" s="381"/>
      <c r="K40" s="374"/>
      <c r="L40" s="373" t="s">
        <v>49</v>
      </c>
      <c r="M40" s="381"/>
      <c r="N40" s="381"/>
      <c r="O40" s="374"/>
      <c r="P40" s="373"/>
      <c r="Q40" s="381"/>
      <c r="R40" s="381"/>
      <c r="S40" s="374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2:35" ht="19.899999999999999" customHeight="1" x14ac:dyDescent="0.3">
      <c r="B41" s="84" t="s">
        <v>27</v>
      </c>
      <c r="C41" s="102" t="s">
        <v>28</v>
      </c>
      <c r="D41" s="373" t="s">
        <v>49</v>
      </c>
      <c r="E41" s="381"/>
      <c r="F41" s="381"/>
      <c r="G41" s="374"/>
      <c r="H41" s="373" t="s">
        <v>49</v>
      </c>
      <c r="I41" s="381"/>
      <c r="J41" s="381"/>
      <c r="K41" s="374"/>
      <c r="L41" s="373" t="s">
        <v>50</v>
      </c>
      <c r="M41" s="381"/>
      <c r="N41" s="381"/>
      <c r="O41" s="374"/>
      <c r="P41" s="373"/>
      <c r="Q41" s="381"/>
      <c r="R41" s="381"/>
      <c r="S41" s="374"/>
      <c r="T41" s="7" t="str">
        <f t="shared" ref="T41:AI41" ca="1" si="10">IF(OR(NOT(ISNUMBER(T37)),T37&lt;Job2_StartDate),"",IF(MID(Job2_Pattern,MOD(T37-Job2_StartDate,LEN(Job2_Pattern))+1,1)=Job2_Shift1_Code,1,IF(MID(Job2_Pattern,MOD(T37-Job2_StartDate,LEN(Job2_Pattern))+1,1)=Job2_Shift2_Code,2,IF(MID(Job2_Pattern,MOD(T37-Job2_StartDate,LEN(Job2_Pattern))+1,1)=Job2_Shift3_Code,3,""))))</f>
        <v/>
      </c>
      <c r="U41" s="7" t="str">
        <f t="shared" ca="1" si="10"/>
        <v/>
      </c>
      <c r="V41" s="7" t="str">
        <f t="shared" ca="1" si="10"/>
        <v/>
      </c>
      <c r="W41" s="7">
        <f t="shared" ca="1" si="10"/>
        <v>2</v>
      </c>
      <c r="X41" s="7" t="str">
        <f t="shared" ca="1" si="10"/>
        <v/>
      </c>
      <c r="Y41" s="7" t="str">
        <f t="shared" ca="1" si="10"/>
        <v/>
      </c>
      <c r="Z41" s="7" t="str">
        <f t="shared" ca="1" si="10"/>
        <v/>
      </c>
      <c r="AA41" s="7">
        <f t="shared" ca="1" si="10"/>
        <v>2</v>
      </c>
      <c r="AB41" s="7" t="str">
        <f t="shared" ca="1" si="10"/>
        <v/>
      </c>
      <c r="AC41" s="7" t="str">
        <f t="shared" ca="1" si="10"/>
        <v/>
      </c>
      <c r="AD41" s="7" t="str">
        <f t="shared" ca="1" si="10"/>
        <v/>
      </c>
      <c r="AE41" s="7" t="str">
        <f t="shared" ca="1" si="10"/>
        <v/>
      </c>
      <c r="AF41" s="7" t="str">
        <f t="shared" ca="1" si="10"/>
        <v/>
      </c>
      <c r="AG41" s="7" t="str">
        <f t="shared" ca="1" si="10"/>
        <v/>
      </c>
      <c r="AH41" s="7" t="str">
        <f t="shared" ca="1" si="10"/>
        <v/>
      </c>
      <c r="AI41" s="7" t="str">
        <f t="shared" ca="1" si="10"/>
        <v/>
      </c>
    </row>
    <row r="42" spans="2:35" ht="19.899999999999999" customHeight="1" x14ac:dyDescent="0.3">
      <c r="B42" s="84" t="s">
        <v>136</v>
      </c>
      <c r="C42" s="102" t="s">
        <v>26</v>
      </c>
      <c r="D42" s="373" t="s">
        <v>49</v>
      </c>
      <c r="E42" s="381"/>
      <c r="F42" s="381"/>
      <c r="G42" s="374"/>
      <c r="H42" s="373" t="s">
        <v>49</v>
      </c>
      <c r="I42" s="381"/>
      <c r="J42" s="381"/>
      <c r="K42" s="374"/>
      <c r="L42" s="373" t="s">
        <v>49</v>
      </c>
      <c r="M42" s="381"/>
      <c r="N42" s="381"/>
      <c r="O42" s="374"/>
      <c r="P42" s="373"/>
      <c r="Q42" s="381"/>
      <c r="R42" s="381"/>
      <c r="S42" s="374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spans="2:35" ht="19.899999999999999" customHeight="1" x14ac:dyDescent="0.3">
      <c r="B43" s="72" t="s">
        <v>135</v>
      </c>
      <c r="C43" s="84" t="s">
        <v>24</v>
      </c>
      <c r="D43" s="373" t="s">
        <v>49</v>
      </c>
      <c r="E43" s="381"/>
      <c r="F43" s="381"/>
      <c r="G43" s="374"/>
      <c r="H43" s="373" t="s">
        <v>49</v>
      </c>
      <c r="I43" s="381"/>
      <c r="J43" s="381"/>
      <c r="K43" s="374"/>
      <c r="L43" s="373" t="s">
        <v>49</v>
      </c>
      <c r="M43" s="381"/>
      <c r="N43" s="381"/>
      <c r="O43" s="374"/>
      <c r="P43" s="373"/>
      <c r="Q43" s="381"/>
      <c r="R43" s="381"/>
      <c r="S43" s="374"/>
      <c r="T43" s="7">
        <f t="shared" ref="T43:AI43" ca="1" si="11">IF(OR(NOT(ISNUMBER(T37)),T37&lt;Job3_StartDate),"",IF(MID(Job3_Pattern,MOD(T37-Job3_StartDate,LEN(Job3_Pattern))+1,1)=Job3_Shift1_Code,1,IF(MID(Job3_Pattern,MOD(T37-Job3_StartDate,LEN(Job3_Pattern))+1,1)=Job3_Shift2_Code,2,IF(MID(Job3_Pattern,MOD(T37-Job3_StartDate,LEN(Job3_Pattern))+1,1)=Job3_Shift3_Code,3,""))))</f>
        <v>3</v>
      </c>
      <c r="U43" s="7" t="str">
        <f t="shared" ca="1" si="11"/>
        <v/>
      </c>
      <c r="V43" s="7" t="str">
        <f t="shared" ca="1" si="11"/>
        <v/>
      </c>
      <c r="W43" s="7" t="str">
        <f t="shared" ca="1" si="11"/>
        <v/>
      </c>
      <c r="X43" s="7">
        <f t="shared" ca="1" si="11"/>
        <v>3</v>
      </c>
      <c r="Y43" s="7" t="str">
        <f t="shared" ca="1" si="11"/>
        <v/>
      </c>
      <c r="Z43" s="7" t="str">
        <f t="shared" ca="1" si="11"/>
        <v/>
      </c>
      <c r="AA43" s="7" t="str">
        <f t="shared" ca="1" si="11"/>
        <v/>
      </c>
      <c r="AB43" s="7">
        <f t="shared" ca="1" si="11"/>
        <v>3</v>
      </c>
      <c r="AC43" s="7" t="str">
        <f t="shared" ca="1" si="11"/>
        <v/>
      </c>
      <c r="AD43" s="7" t="str">
        <f t="shared" ca="1" si="11"/>
        <v/>
      </c>
      <c r="AE43" s="7" t="str">
        <f t="shared" ca="1" si="11"/>
        <v/>
      </c>
      <c r="AF43" s="7" t="str">
        <f t="shared" ca="1" si="11"/>
        <v/>
      </c>
      <c r="AG43" s="7" t="str">
        <f t="shared" ca="1" si="11"/>
        <v/>
      </c>
      <c r="AH43" s="7" t="str">
        <f t="shared" ca="1" si="11"/>
        <v/>
      </c>
      <c r="AI43" s="7" t="str">
        <f t="shared" ca="1" si="11"/>
        <v/>
      </c>
    </row>
    <row r="44" spans="2:35" ht="19.899999999999999" customHeight="1" x14ac:dyDescent="0.3">
      <c r="B44" s="71"/>
      <c r="C44" s="71"/>
      <c r="D44" s="6" t="str">
        <f t="shared" ref="D44:AI44" ca="1" si="12">IF(OR(NOT(ISNUMBER(D37)),D37&lt;Job1_StartDate),"",IF(MID(Job1_Pattern,MOD(D37-Job1_StartDate,LEN(Job1_Pattern))+1,1)=Job1_Shift1_Code,1,IF(MID(Job1_Pattern,MOD(D37-Job1_StartDate,LEN(Job1_Pattern))+1,1)=Job1_Shift2_Code,2,IF(MID(Job1_Pattern,MOD(D37-Job1_StartDate,LEN(Job1_Pattern))+1,1)=Job1_Shift3_Code,3,""))))</f>
        <v/>
      </c>
      <c r="E44" s="6" t="str">
        <f t="shared" ca="1" si="12"/>
        <v/>
      </c>
      <c r="F44" s="6" t="str">
        <f t="shared" ca="1" si="12"/>
        <v/>
      </c>
      <c r="G44" s="6" t="str">
        <f t="shared" ca="1" si="12"/>
        <v/>
      </c>
      <c r="H44" s="6" t="str">
        <f t="shared" ca="1" si="12"/>
        <v/>
      </c>
      <c r="I44" s="6" t="str">
        <f t="shared" ca="1" si="12"/>
        <v/>
      </c>
      <c r="J44" s="6" t="str">
        <f t="shared" ca="1" si="12"/>
        <v/>
      </c>
      <c r="K44" s="6" t="str">
        <f t="shared" ca="1" si="12"/>
        <v/>
      </c>
      <c r="L44" s="6" t="str">
        <f t="shared" ca="1" si="12"/>
        <v/>
      </c>
      <c r="M44" s="6" t="str">
        <f t="shared" ca="1" si="12"/>
        <v/>
      </c>
      <c r="N44" s="6" t="str">
        <f t="shared" ca="1" si="12"/>
        <v/>
      </c>
      <c r="O44" s="6" t="str">
        <f t="shared" ca="1" si="12"/>
        <v/>
      </c>
      <c r="P44" s="6" t="str">
        <f t="shared" ca="1" si="12"/>
        <v/>
      </c>
      <c r="Q44" s="6" t="str">
        <f t="shared" ca="1" si="12"/>
        <v/>
      </c>
      <c r="R44" s="6" t="str">
        <f t="shared" ca="1" si="12"/>
        <v/>
      </c>
      <c r="S44" s="6" t="str">
        <f t="shared" ca="1" si="12"/>
        <v/>
      </c>
      <c r="T44" s="6">
        <f t="shared" ca="1" si="12"/>
        <v>1</v>
      </c>
      <c r="U44" s="6" t="str">
        <f t="shared" ca="1" si="12"/>
        <v/>
      </c>
      <c r="V44" s="6" t="str">
        <f t="shared" ca="1" si="12"/>
        <v/>
      </c>
      <c r="W44" s="6" t="str">
        <f t="shared" ca="1" si="12"/>
        <v/>
      </c>
      <c r="X44" s="6">
        <f t="shared" ca="1" si="12"/>
        <v>1</v>
      </c>
      <c r="Y44" s="6" t="str">
        <f t="shared" ca="1" si="12"/>
        <v/>
      </c>
      <c r="Z44" s="6" t="str">
        <f t="shared" ca="1" si="12"/>
        <v/>
      </c>
      <c r="AA44" s="6" t="str">
        <f t="shared" ca="1" si="12"/>
        <v/>
      </c>
      <c r="AB44" s="6">
        <f t="shared" ca="1" si="12"/>
        <v>1</v>
      </c>
      <c r="AC44" s="6" t="str">
        <f t="shared" ca="1" si="12"/>
        <v/>
      </c>
      <c r="AD44" s="6" t="str">
        <f t="shared" ca="1" si="12"/>
        <v/>
      </c>
      <c r="AE44" s="6" t="str">
        <f t="shared" ca="1" si="12"/>
        <v/>
      </c>
      <c r="AF44" s="6" t="str">
        <f t="shared" ca="1" si="12"/>
        <v/>
      </c>
      <c r="AG44" s="6" t="str">
        <f t="shared" ca="1" si="12"/>
        <v/>
      </c>
      <c r="AH44" s="6" t="str">
        <f t="shared" ca="1" si="12"/>
        <v/>
      </c>
      <c r="AI44" s="6" t="str">
        <f t="shared" ca="1" si="12"/>
        <v/>
      </c>
    </row>
    <row r="45" spans="2:35" ht="19.899999999999999" customHeight="1" x14ac:dyDescent="0.3">
      <c r="B45" s="72"/>
      <c r="C45" s="72"/>
      <c r="D45" s="7" t="str">
        <f t="shared" ref="D45:AI45" ca="1" si="13">IF(OR(NOT(ISNUMBER(D37)),D37&lt;Job2_StartDate),"",IF(MID(Job2_Pattern,MOD(D37-Job2_StartDate,LEN(Job2_Pattern))+1,1)=Job2_Shift1_Code,1,IF(MID(Job2_Pattern,MOD(D37-Job2_StartDate,LEN(Job2_Pattern))+1,1)=Job2_Shift2_Code,2,IF(MID(Job2_Pattern,MOD(D37-Job2_StartDate,LEN(Job2_Pattern))+1,1)=Job2_Shift3_Code,3,""))))</f>
        <v/>
      </c>
      <c r="E45" s="7" t="str">
        <f t="shared" ca="1" si="13"/>
        <v/>
      </c>
      <c r="F45" s="7" t="str">
        <f t="shared" ca="1" si="13"/>
        <v/>
      </c>
      <c r="G45" s="7" t="str">
        <f t="shared" ca="1" si="13"/>
        <v/>
      </c>
      <c r="H45" s="7" t="str">
        <f t="shared" ca="1" si="13"/>
        <v/>
      </c>
      <c r="I45" s="7" t="str">
        <f t="shared" ca="1" si="13"/>
        <v/>
      </c>
      <c r="J45" s="7" t="str">
        <f t="shared" ca="1" si="13"/>
        <v/>
      </c>
      <c r="K45" s="7" t="str">
        <f t="shared" ca="1" si="13"/>
        <v/>
      </c>
      <c r="L45" s="7" t="str">
        <f t="shared" ca="1" si="13"/>
        <v/>
      </c>
      <c r="M45" s="7" t="str">
        <f t="shared" ca="1" si="13"/>
        <v/>
      </c>
      <c r="N45" s="7" t="str">
        <f t="shared" ca="1" si="13"/>
        <v/>
      </c>
      <c r="O45" s="7" t="str">
        <f t="shared" ca="1" si="13"/>
        <v/>
      </c>
      <c r="P45" s="7" t="str">
        <f t="shared" ca="1" si="13"/>
        <v/>
      </c>
      <c r="Q45" s="7" t="str">
        <f t="shared" ca="1" si="13"/>
        <v/>
      </c>
      <c r="R45" s="7" t="str">
        <f t="shared" ca="1" si="13"/>
        <v/>
      </c>
      <c r="S45" s="7" t="str">
        <f t="shared" ca="1" si="13"/>
        <v/>
      </c>
      <c r="T45" s="7" t="str">
        <f t="shared" ca="1" si="13"/>
        <v/>
      </c>
      <c r="U45" s="7" t="str">
        <f t="shared" ca="1" si="13"/>
        <v/>
      </c>
      <c r="V45" s="7" t="str">
        <f t="shared" ca="1" si="13"/>
        <v/>
      </c>
      <c r="W45" s="7">
        <f t="shared" ca="1" si="13"/>
        <v>2</v>
      </c>
      <c r="X45" s="7" t="str">
        <f t="shared" ca="1" si="13"/>
        <v/>
      </c>
      <c r="Y45" s="7" t="str">
        <f t="shared" ca="1" si="13"/>
        <v/>
      </c>
      <c r="Z45" s="7" t="str">
        <f t="shared" ca="1" si="13"/>
        <v/>
      </c>
      <c r="AA45" s="7">
        <f t="shared" ca="1" si="13"/>
        <v>2</v>
      </c>
      <c r="AB45" s="7" t="str">
        <f t="shared" ca="1" si="13"/>
        <v/>
      </c>
      <c r="AC45" s="7" t="str">
        <f t="shared" ca="1" si="13"/>
        <v/>
      </c>
      <c r="AD45" s="7" t="str">
        <f t="shared" ca="1" si="13"/>
        <v/>
      </c>
      <c r="AE45" s="7" t="str">
        <f t="shared" ca="1" si="13"/>
        <v/>
      </c>
      <c r="AF45" s="7" t="str">
        <f t="shared" ca="1" si="13"/>
        <v/>
      </c>
      <c r="AG45" s="7" t="str">
        <f t="shared" ca="1" si="13"/>
        <v/>
      </c>
      <c r="AH45" s="7" t="str">
        <f t="shared" ca="1" si="13"/>
        <v/>
      </c>
      <c r="AI45" s="7" t="str">
        <f t="shared" ca="1" si="13"/>
        <v/>
      </c>
    </row>
    <row r="46" spans="2:35" ht="19.899999999999999" customHeight="1" x14ac:dyDescent="0.3">
      <c r="B46" s="73"/>
      <c r="C46" s="73"/>
      <c r="D46" s="7" t="str">
        <f t="shared" ref="D46:AI46" ca="1" si="14">IF(OR(NOT(ISNUMBER(D37)),D37&lt;Job3_StartDate),"",IF(MID(Job3_Pattern,MOD(D37-Job3_StartDate,LEN(Job3_Pattern))+1,1)=Job3_Shift1_Code,1,IF(MID(Job3_Pattern,MOD(D37-Job3_StartDate,LEN(Job3_Pattern))+1,1)=Job3_Shift2_Code,2,IF(MID(Job3_Pattern,MOD(D37-Job3_StartDate,LEN(Job3_Pattern))+1,1)=Job3_Shift3_Code,3,""))))</f>
        <v/>
      </c>
      <c r="E46" s="7" t="str">
        <f t="shared" ca="1" si="14"/>
        <v/>
      </c>
      <c r="F46" s="7" t="str">
        <f t="shared" ca="1" si="14"/>
        <v/>
      </c>
      <c r="G46" s="7" t="str">
        <f t="shared" ca="1" si="14"/>
        <v/>
      </c>
      <c r="H46" s="7" t="str">
        <f t="shared" ca="1" si="14"/>
        <v/>
      </c>
      <c r="I46" s="7" t="str">
        <f t="shared" ca="1" si="14"/>
        <v/>
      </c>
      <c r="J46" s="7" t="str">
        <f t="shared" ca="1" si="14"/>
        <v/>
      </c>
      <c r="K46" s="7" t="str">
        <f t="shared" ca="1" si="14"/>
        <v/>
      </c>
      <c r="L46" s="7" t="str">
        <f t="shared" ca="1" si="14"/>
        <v/>
      </c>
      <c r="M46" s="7" t="str">
        <f t="shared" ca="1" si="14"/>
        <v/>
      </c>
      <c r="N46" s="7" t="str">
        <f t="shared" ca="1" si="14"/>
        <v/>
      </c>
      <c r="O46" s="7" t="str">
        <f t="shared" ca="1" si="14"/>
        <v/>
      </c>
      <c r="P46" s="7" t="str">
        <f t="shared" ca="1" si="14"/>
        <v/>
      </c>
      <c r="Q46" s="7" t="str">
        <f t="shared" ca="1" si="14"/>
        <v/>
      </c>
      <c r="R46" s="7" t="str">
        <f t="shared" ca="1" si="14"/>
        <v/>
      </c>
      <c r="S46" s="7" t="str">
        <f t="shared" ca="1" si="14"/>
        <v/>
      </c>
      <c r="T46" s="7">
        <f t="shared" ca="1" si="14"/>
        <v>3</v>
      </c>
      <c r="U46" s="7" t="str">
        <f t="shared" ca="1" si="14"/>
        <v/>
      </c>
      <c r="V46" s="7" t="str">
        <f t="shared" ca="1" si="14"/>
        <v/>
      </c>
      <c r="W46" s="7" t="str">
        <f t="shared" ca="1" si="14"/>
        <v/>
      </c>
      <c r="X46" s="7">
        <f t="shared" ca="1" si="14"/>
        <v>3</v>
      </c>
      <c r="Y46" s="7" t="str">
        <f t="shared" ca="1" si="14"/>
        <v/>
      </c>
      <c r="Z46" s="7" t="str">
        <f t="shared" ca="1" si="14"/>
        <v/>
      </c>
      <c r="AA46" s="7" t="str">
        <f t="shared" ca="1" si="14"/>
        <v/>
      </c>
      <c r="AB46" s="7">
        <f t="shared" ca="1" si="14"/>
        <v>3</v>
      </c>
      <c r="AC46" s="7" t="str">
        <f t="shared" ca="1" si="14"/>
        <v/>
      </c>
      <c r="AD46" s="7" t="str">
        <f t="shared" ca="1" si="14"/>
        <v/>
      </c>
      <c r="AE46" s="7" t="str">
        <f t="shared" ca="1" si="14"/>
        <v/>
      </c>
      <c r="AF46" s="7" t="str">
        <f t="shared" ca="1" si="14"/>
        <v/>
      </c>
      <c r="AG46" s="7" t="str">
        <f t="shared" ca="1" si="14"/>
        <v/>
      </c>
      <c r="AH46" s="7" t="str">
        <f t="shared" ca="1" si="14"/>
        <v/>
      </c>
      <c r="AI46" s="7" t="str">
        <f t="shared" ca="1" si="14"/>
        <v/>
      </c>
    </row>
    <row r="47" spans="2:35" ht="19.899999999999999" customHeight="1" thickBot="1" x14ac:dyDescent="0.35">
      <c r="B47" s="74"/>
      <c r="C47" s="74"/>
    </row>
    <row r="48" spans="2:35" s="75" customFormat="1" ht="19.899999999999999" customHeight="1" x14ac:dyDescent="0.3">
      <c r="B48" s="211">
        <v>46204</v>
      </c>
      <c r="C48" s="77"/>
      <c r="D48" s="213" t="s">
        <v>5</v>
      </c>
      <c r="E48" s="214"/>
      <c r="F48" s="214"/>
      <c r="G48" s="215"/>
      <c r="H48" s="330" t="s">
        <v>6</v>
      </c>
      <c r="I48" s="331"/>
      <c r="J48" s="331"/>
      <c r="K48" s="382"/>
      <c r="L48" s="330" t="s">
        <v>7</v>
      </c>
      <c r="M48" s="331"/>
      <c r="N48" s="331"/>
      <c r="O48" s="382"/>
      <c r="P48" s="330" t="s">
        <v>8</v>
      </c>
      <c r="Q48" s="331"/>
      <c r="R48" s="331"/>
      <c r="S48" s="331"/>
      <c r="T48" s="214" t="s">
        <v>39</v>
      </c>
      <c r="U48" s="214"/>
      <c r="V48" s="214"/>
      <c r="W48" s="215"/>
      <c r="X48" s="9">
        <f ca="1">IF(DAY(JunSun1)=1,IF(AND(YEAR(JunSun1+19)=CalendarYear,MONTH(JunSun1+19)=6),JunSun1+19,""),IF(AND(YEAR(JunSun1+26)=CalendarYear,MONTH(JunSun1+26)=6),JunSun1+26,""))</f>
        <v>46198</v>
      </c>
      <c r="Y48" s="9">
        <f ca="1">IF(DAY(JunSun1)=1,IF(AND(YEAR(JunSun1+20)=CalendarYear,MONTH(JunSun1+20)=6),JunSun1+20,""),IF(AND(YEAR(JunSun1+27)=CalendarYear,MONTH(JunSun1+27)=6),JunSun1+27,""))</f>
        <v>46199</v>
      </c>
      <c r="Z48" s="9">
        <f ca="1">IF(DAY(JunSun1)=1,IF(AND(YEAR(JunSun1+21)=CalendarYear,MONTH(JunSun1+21)=6),JunSun1+21,""),IF(AND(YEAR(JunSun1+28)=CalendarYear,MONTH(JunSun1+28)=6),JunSun1+28,""))</f>
        <v>46200</v>
      </c>
      <c r="AA48" s="9">
        <f ca="1">IF(DAY(JunSun1)=1,IF(AND(YEAR(JunSun1+22)=CalendarYear,MONTH(JunSun1+22)=6),JunSun1+22,""),IF(AND(YEAR(JunSun1+29)=CalendarYear,MONTH(JunSun1+29)=6),JunSun1+29,""))</f>
        <v>46201</v>
      </c>
      <c r="AB48" s="9">
        <f ca="1">IF(DAY(JunSun1)=1,IF(AND(YEAR(JunSun1+23)=CalendarYear,MONTH(JunSun1+23)=6),JunSun1+23,""),IF(AND(YEAR(JunSun1+30)=CalendarYear,MONTH(JunSun1+30)=6),JunSun1+30,""))</f>
        <v>46202</v>
      </c>
      <c r="AC48" s="9">
        <f ca="1">IF(DAY(JunSun1)=1,IF(AND(YEAR(JunSun1+24)=CalendarYear,MONTH(JunSun1+24)=6),JunSun1+24,""),IF(AND(YEAR(JunSun1+31)=CalendarYear,MONTH(JunSun1+31)=6),JunSun1+31,""))</f>
        <v>46203</v>
      </c>
      <c r="AD48" s="9" t="str">
        <f ca="1">IF(DAY(JunSun1)=1,IF(AND(YEAR(JunSun1+25)=CalendarYear,MONTH(JunSun1+25)=6),JunSun1+25,""),IF(AND(YEAR(JunSun1+32)=CalendarYear,MONTH(JunSun1+32)=6),JunSun1+32,""))</f>
        <v/>
      </c>
      <c r="AE48" s="9" t="str">
        <f ca="1">IF(DAY(JunSun1)=1,IF(AND(YEAR(JunSun1+26)=CalendarYear,MONTH(JunSun1+26)=6),JunSun1+26,""),IF(AND(YEAR(JunSun1+33)=CalendarYear,MONTH(JunSun1+33)=6),JunSun1+33,""))</f>
        <v/>
      </c>
      <c r="AF48" s="9" t="str">
        <f ca="1">IF(DAY(JunSun1)=1,IF(AND(YEAR(JunSun1+27)=CalendarYear,MONTH(JunSun1+27)=6),JunSun1+27,""),IF(AND(YEAR(JunSun1+34)=CalendarYear,MONTH(JunSun1+34)=6),JunSun1+34,""))</f>
        <v/>
      </c>
      <c r="AG48" s="9" t="str">
        <f ca="1">IF(DAY(JunSun1)=1,IF(AND(YEAR(JunSun1+28)=CalendarYear,MONTH(JunSun1+28)=6),JunSun1+28,""),IF(AND(YEAR(JunSun1+35)=CalendarYear,MONTH(JunSun1+35)=6),JunSun1+35,""))</f>
        <v/>
      </c>
      <c r="AH48" s="9" t="str">
        <f ca="1">IF(DAY(JunSun1)=1,IF(AND(YEAR(JunSun1+29)=CalendarYear,MONTH(JunSun1+29)=6),JunSun1+29,""),IF(AND(YEAR(JunSun1+36)=CalendarYear,MONTH(JunSun1+36)=6),JunSun1+36,""))</f>
        <v/>
      </c>
      <c r="AI48" s="11" t="str">
        <f ca="1">IF(DAY(JunSun1)=1,IF(AND(YEAR(JunSun1+30)=CalendarYear,MONTH(JunSun1+30)=6),JunSun1+30,""),IF(AND(YEAR(JunSun1+37)=CalendarYear,MONTH(JunSun1+37)=6),JunSun1+37,""))</f>
        <v/>
      </c>
    </row>
    <row r="49" spans="2:35" s="75" customFormat="1" ht="19.899999999999999" customHeight="1" x14ac:dyDescent="0.3">
      <c r="B49" s="212"/>
      <c r="C49" s="78"/>
      <c r="D49" s="332" t="s">
        <v>67</v>
      </c>
      <c r="E49" s="319"/>
      <c r="F49" s="319"/>
      <c r="G49" s="319"/>
      <c r="H49" s="332" t="s">
        <v>68</v>
      </c>
      <c r="I49" s="319"/>
      <c r="J49" s="319"/>
      <c r="K49" s="319"/>
      <c r="L49" s="332" t="s">
        <v>69</v>
      </c>
      <c r="M49" s="319"/>
      <c r="N49" s="319"/>
      <c r="O49" s="319"/>
      <c r="P49" s="332" t="s">
        <v>70</v>
      </c>
      <c r="Q49" s="319"/>
      <c r="R49" s="319"/>
      <c r="S49" s="319"/>
      <c r="T49" s="332" t="s">
        <v>71</v>
      </c>
      <c r="U49" s="319"/>
      <c r="V49" s="319"/>
      <c r="W49" s="319"/>
      <c r="X49" s="10" t="s">
        <v>16</v>
      </c>
      <c r="Y49" s="10" t="s">
        <v>13</v>
      </c>
      <c r="Z49" s="10" t="s">
        <v>14</v>
      </c>
      <c r="AA49" s="10" t="s">
        <v>15</v>
      </c>
      <c r="AB49" s="10" t="s">
        <v>9</v>
      </c>
      <c r="AC49" s="10" t="s">
        <v>10</v>
      </c>
      <c r="AD49" s="10" t="s">
        <v>11</v>
      </c>
      <c r="AE49" s="10" t="s">
        <v>16</v>
      </c>
      <c r="AF49" s="10" t="s">
        <v>13</v>
      </c>
      <c r="AG49" s="10" t="s">
        <v>14</v>
      </c>
      <c r="AH49" s="10" t="s">
        <v>15</v>
      </c>
      <c r="AI49" s="12" t="s">
        <v>9</v>
      </c>
    </row>
    <row r="50" spans="2:35" ht="19.899999999999999" customHeight="1" x14ac:dyDescent="0.3">
      <c r="B50" s="83" t="s">
        <v>21</v>
      </c>
      <c r="C50" s="101" t="s">
        <v>22</v>
      </c>
      <c r="D50" s="373"/>
      <c r="E50" s="381"/>
      <c r="F50" s="381"/>
      <c r="G50" s="374"/>
      <c r="H50" s="373" t="s">
        <v>49</v>
      </c>
      <c r="I50" s="381"/>
      <c r="J50" s="381"/>
      <c r="K50" s="374"/>
      <c r="L50" s="373"/>
      <c r="M50" s="381"/>
      <c r="N50" s="381"/>
      <c r="O50" s="374"/>
      <c r="P50" s="373"/>
      <c r="Q50" s="381"/>
      <c r="R50" s="381"/>
      <c r="S50" s="374"/>
      <c r="T50" s="373"/>
      <c r="U50" s="381"/>
      <c r="V50" s="381"/>
      <c r="W50" s="374"/>
      <c r="X50" s="6">
        <f t="shared" ref="X50:AI50" ca="1" si="15">IF(OR(NOT(ISNUMBER(X48)),X48&lt;Job1_StartDate),"",IF(MID(Job1_Pattern,MOD(X48-Job1_StartDate,LEN(Job1_Pattern))+1,1)=Job1_Shift1_Code,1,IF(MID(Job1_Pattern,MOD(X48-Job1_StartDate,LEN(Job1_Pattern))+1,1)=Job1_Shift2_Code,2,IF(MID(Job1_Pattern,MOD(X48-Job1_StartDate,LEN(Job1_Pattern))+1,1)=Job1_Shift3_Code,3,""))))</f>
        <v>1</v>
      </c>
      <c r="Y50" s="6" t="str">
        <f t="shared" ca="1" si="15"/>
        <v/>
      </c>
      <c r="Z50" s="6" t="str">
        <f t="shared" ca="1" si="15"/>
        <v/>
      </c>
      <c r="AA50" s="6" t="str">
        <f t="shared" ca="1" si="15"/>
        <v/>
      </c>
      <c r="AB50" s="6">
        <f t="shared" ca="1" si="15"/>
        <v>1</v>
      </c>
      <c r="AC50" s="6" t="str">
        <f t="shared" ca="1" si="15"/>
        <v/>
      </c>
      <c r="AD50" s="6" t="str">
        <f t="shared" ca="1" si="15"/>
        <v/>
      </c>
      <c r="AE50" s="6" t="str">
        <f t="shared" ca="1" si="15"/>
        <v/>
      </c>
      <c r="AF50" s="6" t="str">
        <f t="shared" ca="1" si="15"/>
        <v/>
      </c>
      <c r="AG50" s="6" t="str">
        <f t="shared" ca="1" si="15"/>
        <v/>
      </c>
      <c r="AH50" s="6" t="str">
        <f t="shared" ca="1" si="15"/>
        <v/>
      </c>
      <c r="AI50" s="6" t="str">
        <f t="shared" ca="1" si="15"/>
        <v/>
      </c>
    </row>
    <row r="51" spans="2:35" ht="19.899999999999999" customHeight="1" x14ac:dyDescent="0.3">
      <c r="B51" s="84" t="s">
        <v>25</v>
      </c>
      <c r="C51" s="102" t="s">
        <v>26</v>
      </c>
      <c r="D51" s="373"/>
      <c r="E51" s="381"/>
      <c r="F51" s="381"/>
      <c r="G51" s="374"/>
      <c r="H51" s="373"/>
      <c r="I51" s="381"/>
      <c r="J51" s="381"/>
      <c r="K51" s="374"/>
      <c r="L51" s="373"/>
      <c r="M51" s="381"/>
      <c r="N51" s="381"/>
      <c r="O51" s="374"/>
      <c r="P51" s="373"/>
      <c r="Q51" s="381"/>
      <c r="R51" s="381"/>
      <c r="S51" s="374"/>
      <c r="T51" s="373"/>
      <c r="U51" s="381"/>
      <c r="V51" s="381"/>
      <c r="W51" s="374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2:35" ht="19.899999999999999" customHeight="1" x14ac:dyDescent="0.3">
      <c r="B52" s="84" t="s">
        <v>27</v>
      </c>
      <c r="C52" s="102" t="s">
        <v>28</v>
      </c>
      <c r="D52" s="373" t="s">
        <v>49</v>
      </c>
      <c r="E52" s="381"/>
      <c r="F52" s="381"/>
      <c r="G52" s="374"/>
      <c r="H52" s="373" t="s">
        <v>49</v>
      </c>
      <c r="I52" s="381"/>
      <c r="J52" s="381"/>
      <c r="K52" s="374"/>
      <c r="L52" s="373" t="s">
        <v>49</v>
      </c>
      <c r="M52" s="381"/>
      <c r="N52" s="381"/>
      <c r="O52" s="374"/>
      <c r="P52" s="373"/>
      <c r="Q52" s="381"/>
      <c r="R52" s="381"/>
      <c r="S52" s="374"/>
      <c r="T52" s="373"/>
      <c r="U52" s="381"/>
      <c r="V52" s="381"/>
      <c r="W52" s="374"/>
      <c r="X52" s="7" t="str">
        <f t="shared" ref="X52:AI52" ca="1" si="16">IF(OR(NOT(ISNUMBER(X48)),X48&lt;Job2_StartDate),"",IF(MID(Job2_Pattern,MOD(X48-Job2_StartDate,LEN(Job2_Pattern))+1,1)=Job2_Shift1_Code,1,IF(MID(Job2_Pattern,MOD(X48-Job2_StartDate,LEN(Job2_Pattern))+1,1)=Job2_Shift2_Code,2,IF(MID(Job2_Pattern,MOD(X48-Job2_StartDate,LEN(Job2_Pattern))+1,1)=Job2_Shift3_Code,3,""))))</f>
        <v/>
      </c>
      <c r="Y52" s="7" t="str">
        <f t="shared" ca="1" si="16"/>
        <v/>
      </c>
      <c r="Z52" s="7" t="str">
        <f t="shared" ca="1" si="16"/>
        <v/>
      </c>
      <c r="AA52" s="7">
        <f t="shared" ca="1" si="16"/>
        <v>2</v>
      </c>
      <c r="AB52" s="7" t="str">
        <f t="shared" ca="1" si="16"/>
        <v/>
      </c>
      <c r="AC52" s="7" t="str">
        <f t="shared" ca="1" si="16"/>
        <v/>
      </c>
      <c r="AD52" s="7" t="str">
        <f t="shared" ca="1" si="16"/>
        <v/>
      </c>
      <c r="AE52" s="7" t="str">
        <f t="shared" ca="1" si="16"/>
        <v/>
      </c>
      <c r="AF52" s="7" t="str">
        <f t="shared" ca="1" si="16"/>
        <v/>
      </c>
      <c r="AG52" s="7" t="str">
        <f t="shared" ca="1" si="16"/>
        <v/>
      </c>
      <c r="AH52" s="7" t="str">
        <f t="shared" ca="1" si="16"/>
        <v/>
      </c>
      <c r="AI52" s="7" t="str">
        <f t="shared" ca="1" si="16"/>
        <v/>
      </c>
    </row>
    <row r="53" spans="2:35" ht="19.899999999999999" customHeight="1" x14ac:dyDescent="0.3">
      <c r="B53" s="84" t="s">
        <v>136</v>
      </c>
      <c r="C53" s="102" t="s">
        <v>26</v>
      </c>
      <c r="D53" s="373" t="s">
        <v>49</v>
      </c>
      <c r="E53" s="381"/>
      <c r="F53" s="381"/>
      <c r="G53" s="374"/>
      <c r="H53" s="373"/>
      <c r="I53" s="381"/>
      <c r="J53" s="381"/>
      <c r="K53" s="374"/>
      <c r="L53" s="373"/>
      <c r="M53" s="381"/>
      <c r="N53" s="381"/>
      <c r="O53" s="374"/>
      <c r="P53" s="373"/>
      <c r="Q53" s="381"/>
      <c r="R53" s="381"/>
      <c r="S53" s="374"/>
      <c r="T53" s="373"/>
      <c r="U53" s="381"/>
      <c r="V53" s="381"/>
      <c r="W53" s="374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2:35" ht="19.899999999999999" customHeight="1" x14ac:dyDescent="0.3">
      <c r="B54" s="72" t="s">
        <v>135</v>
      </c>
      <c r="C54" s="84" t="s">
        <v>24</v>
      </c>
      <c r="D54" s="373"/>
      <c r="E54" s="381"/>
      <c r="F54" s="381"/>
      <c r="G54" s="374"/>
      <c r="H54" s="373" t="s">
        <v>49</v>
      </c>
      <c r="I54" s="381"/>
      <c r="J54" s="381"/>
      <c r="K54" s="374"/>
      <c r="L54" s="373" t="s">
        <v>49</v>
      </c>
      <c r="M54" s="381"/>
      <c r="N54" s="381"/>
      <c r="O54" s="374"/>
      <c r="P54" s="373"/>
      <c r="Q54" s="381"/>
      <c r="R54" s="381"/>
      <c r="S54" s="374"/>
      <c r="T54" s="373"/>
      <c r="U54" s="381"/>
      <c r="V54" s="381"/>
      <c r="W54" s="374"/>
      <c r="X54" s="7">
        <f t="shared" ref="X54:AI54" ca="1" si="17">IF(OR(NOT(ISNUMBER(X48)),X48&lt;Job3_StartDate),"",IF(MID(Job3_Pattern,MOD(X48-Job3_StartDate,LEN(Job3_Pattern))+1,1)=Job3_Shift1_Code,1,IF(MID(Job3_Pattern,MOD(X48-Job3_StartDate,LEN(Job3_Pattern))+1,1)=Job3_Shift2_Code,2,IF(MID(Job3_Pattern,MOD(X48-Job3_StartDate,LEN(Job3_Pattern))+1,1)=Job3_Shift3_Code,3,""))))</f>
        <v>3</v>
      </c>
      <c r="Y54" s="7" t="str">
        <f t="shared" ca="1" si="17"/>
        <v/>
      </c>
      <c r="Z54" s="7" t="str">
        <f t="shared" ca="1" si="17"/>
        <v/>
      </c>
      <c r="AA54" s="7" t="str">
        <f t="shared" ca="1" si="17"/>
        <v/>
      </c>
      <c r="AB54" s="7">
        <f t="shared" ca="1" si="17"/>
        <v>3</v>
      </c>
      <c r="AC54" s="7" t="str">
        <f t="shared" ca="1" si="17"/>
        <v/>
      </c>
      <c r="AD54" s="7" t="str">
        <f t="shared" ca="1" si="17"/>
        <v/>
      </c>
      <c r="AE54" s="7" t="str">
        <f t="shared" ca="1" si="17"/>
        <v/>
      </c>
      <c r="AF54" s="7" t="str">
        <f t="shared" ca="1" si="17"/>
        <v/>
      </c>
      <c r="AG54" s="7" t="str">
        <f t="shared" ca="1" si="17"/>
        <v/>
      </c>
      <c r="AH54" s="7" t="str">
        <f t="shared" ca="1" si="17"/>
        <v/>
      </c>
      <c r="AI54" s="7" t="str">
        <f t="shared" ca="1" si="17"/>
        <v/>
      </c>
    </row>
    <row r="55" spans="2:35" ht="19.899999999999999" customHeight="1" x14ac:dyDescent="0.3">
      <c r="B55" s="71"/>
      <c r="C55" s="71"/>
      <c r="D55" s="6" t="str">
        <f t="shared" ref="D55:AI55" ca="1" si="18">IF(OR(NOT(ISNUMBER(D48)),D48&lt;Job1_StartDate),"",IF(MID(Job1_Pattern,MOD(D48-Job1_StartDate,LEN(Job1_Pattern))+1,1)=Job1_Shift1_Code,1,IF(MID(Job1_Pattern,MOD(D48-Job1_StartDate,LEN(Job1_Pattern))+1,1)=Job1_Shift2_Code,2,IF(MID(Job1_Pattern,MOD(D48-Job1_StartDate,LEN(Job1_Pattern))+1,1)=Job1_Shift3_Code,3,""))))</f>
        <v/>
      </c>
      <c r="E55" s="6" t="str">
        <f t="shared" ca="1" si="18"/>
        <v/>
      </c>
      <c r="F55" s="6" t="str">
        <f t="shared" ca="1" si="18"/>
        <v/>
      </c>
      <c r="G55" s="6" t="str">
        <f t="shared" ca="1" si="18"/>
        <v/>
      </c>
      <c r="H55" s="6" t="str">
        <f t="shared" ca="1" si="18"/>
        <v/>
      </c>
      <c r="I55" s="6" t="str">
        <f t="shared" ca="1" si="18"/>
        <v/>
      </c>
      <c r="J55" s="6" t="str">
        <f t="shared" ca="1" si="18"/>
        <v/>
      </c>
      <c r="K55" s="6" t="str">
        <f t="shared" ca="1" si="18"/>
        <v/>
      </c>
      <c r="L55" s="6" t="str">
        <f t="shared" ca="1" si="18"/>
        <v/>
      </c>
      <c r="M55" s="6" t="str">
        <f t="shared" ca="1" si="18"/>
        <v/>
      </c>
      <c r="N55" s="6" t="str">
        <f t="shared" ca="1" si="18"/>
        <v/>
      </c>
      <c r="O55" s="6" t="str">
        <f t="shared" ca="1" si="18"/>
        <v/>
      </c>
      <c r="P55" s="6" t="str">
        <f t="shared" ca="1" si="18"/>
        <v/>
      </c>
      <c r="Q55" s="6" t="str">
        <f t="shared" ca="1" si="18"/>
        <v/>
      </c>
      <c r="R55" s="6" t="str">
        <f t="shared" ca="1" si="18"/>
        <v/>
      </c>
      <c r="S55" s="6" t="str">
        <f t="shared" ca="1" si="18"/>
        <v/>
      </c>
      <c r="T55" s="6" t="str">
        <f t="shared" ca="1" si="18"/>
        <v/>
      </c>
      <c r="U55" s="6" t="str">
        <f t="shared" ca="1" si="18"/>
        <v/>
      </c>
      <c r="V55" s="6" t="str">
        <f t="shared" ca="1" si="18"/>
        <v/>
      </c>
      <c r="W55" s="6" t="str">
        <f t="shared" ca="1" si="18"/>
        <v/>
      </c>
      <c r="X55" s="6">
        <f t="shared" ca="1" si="18"/>
        <v>1</v>
      </c>
      <c r="Y55" s="6" t="str">
        <f t="shared" ca="1" si="18"/>
        <v/>
      </c>
      <c r="Z55" s="6" t="str">
        <f t="shared" ca="1" si="18"/>
        <v/>
      </c>
      <c r="AA55" s="6" t="str">
        <f t="shared" ca="1" si="18"/>
        <v/>
      </c>
      <c r="AB55" s="6">
        <f t="shared" ca="1" si="18"/>
        <v>1</v>
      </c>
      <c r="AC55" s="6" t="str">
        <f t="shared" ca="1" si="18"/>
        <v/>
      </c>
      <c r="AD55" s="6" t="str">
        <f t="shared" ca="1" si="18"/>
        <v/>
      </c>
      <c r="AE55" s="6" t="str">
        <f t="shared" ca="1" si="18"/>
        <v/>
      </c>
      <c r="AF55" s="6" t="str">
        <f t="shared" ca="1" si="18"/>
        <v/>
      </c>
      <c r="AG55" s="6" t="str">
        <f t="shared" ca="1" si="18"/>
        <v/>
      </c>
      <c r="AH55" s="6" t="str">
        <f t="shared" ca="1" si="18"/>
        <v/>
      </c>
      <c r="AI55" s="6" t="str">
        <f t="shared" ca="1" si="18"/>
        <v/>
      </c>
    </row>
    <row r="56" spans="2:35" ht="19.899999999999999" customHeight="1" x14ac:dyDescent="0.3">
      <c r="B56" s="72"/>
      <c r="C56" s="72"/>
      <c r="D56" s="7" t="str">
        <f t="shared" ref="D56:AI56" ca="1" si="19">IF(OR(NOT(ISNUMBER(D48)),D48&lt;Job2_StartDate),"",IF(MID(Job2_Pattern,MOD(D48-Job2_StartDate,LEN(Job2_Pattern))+1,1)=Job2_Shift1_Code,1,IF(MID(Job2_Pattern,MOD(D48-Job2_StartDate,LEN(Job2_Pattern))+1,1)=Job2_Shift2_Code,2,IF(MID(Job2_Pattern,MOD(D48-Job2_StartDate,LEN(Job2_Pattern))+1,1)=Job2_Shift3_Code,3,""))))</f>
        <v/>
      </c>
      <c r="E56" s="7" t="str">
        <f t="shared" ca="1" si="19"/>
        <v/>
      </c>
      <c r="F56" s="7" t="str">
        <f t="shared" ca="1" si="19"/>
        <v/>
      </c>
      <c r="G56" s="7" t="str">
        <f t="shared" ca="1" si="19"/>
        <v/>
      </c>
      <c r="H56" s="7" t="str">
        <f t="shared" ca="1" si="19"/>
        <v/>
      </c>
      <c r="I56" s="7" t="str">
        <f t="shared" ca="1" si="19"/>
        <v/>
      </c>
      <c r="J56" s="7" t="str">
        <f t="shared" ca="1" si="19"/>
        <v/>
      </c>
      <c r="K56" s="7" t="str">
        <f t="shared" ca="1" si="19"/>
        <v/>
      </c>
      <c r="L56" s="7" t="str">
        <f t="shared" ca="1" si="19"/>
        <v/>
      </c>
      <c r="M56" s="7" t="str">
        <f t="shared" ca="1" si="19"/>
        <v/>
      </c>
      <c r="N56" s="7" t="str">
        <f t="shared" ca="1" si="19"/>
        <v/>
      </c>
      <c r="O56" s="7" t="str">
        <f t="shared" ca="1" si="19"/>
        <v/>
      </c>
      <c r="P56" s="7" t="str">
        <f t="shared" ca="1" si="19"/>
        <v/>
      </c>
      <c r="Q56" s="7" t="str">
        <f t="shared" ca="1" si="19"/>
        <v/>
      </c>
      <c r="R56" s="7" t="str">
        <f t="shared" ca="1" si="19"/>
        <v/>
      </c>
      <c r="S56" s="7" t="str">
        <f t="shared" ca="1" si="19"/>
        <v/>
      </c>
      <c r="T56" s="7" t="str">
        <f t="shared" ca="1" si="19"/>
        <v/>
      </c>
      <c r="U56" s="7" t="str">
        <f t="shared" ca="1" si="19"/>
        <v/>
      </c>
      <c r="V56" s="7" t="str">
        <f t="shared" ca="1" si="19"/>
        <v/>
      </c>
      <c r="W56" s="7" t="str">
        <f t="shared" ca="1" si="19"/>
        <v/>
      </c>
      <c r="X56" s="7" t="str">
        <f t="shared" ca="1" si="19"/>
        <v/>
      </c>
      <c r="Y56" s="7" t="str">
        <f t="shared" ca="1" si="19"/>
        <v/>
      </c>
      <c r="Z56" s="7" t="str">
        <f t="shared" ca="1" si="19"/>
        <v/>
      </c>
      <c r="AA56" s="7">
        <f t="shared" ca="1" si="19"/>
        <v>2</v>
      </c>
      <c r="AB56" s="7" t="str">
        <f t="shared" ca="1" si="19"/>
        <v/>
      </c>
      <c r="AC56" s="7" t="str">
        <f t="shared" ca="1" si="19"/>
        <v/>
      </c>
      <c r="AD56" s="7" t="str">
        <f t="shared" ca="1" si="19"/>
        <v/>
      </c>
      <c r="AE56" s="7" t="str">
        <f t="shared" ca="1" si="19"/>
        <v/>
      </c>
      <c r="AF56" s="7" t="str">
        <f t="shared" ca="1" si="19"/>
        <v/>
      </c>
      <c r="AG56" s="7" t="str">
        <f t="shared" ca="1" si="19"/>
        <v/>
      </c>
      <c r="AH56" s="7" t="str">
        <f t="shared" ca="1" si="19"/>
        <v/>
      </c>
      <c r="AI56" s="7" t="str">
        <f t="shared" ca="1" si="19"/>
        <v/>
      </c>
    </row>
    <row r="57" spans="2:35" ht="19.899999999999999" customHeight="1" x14ac:dyDescent="0.3">
      <c r="B57" s="73"/>
      <c r="C57" s="73"/>
      <c r="D57" s="7" t="str">
        <f t="shared" ref="D57:AI57" ca="1" si="20">IF(OR(NOT(ISNUMBER(D48)),D48&lt;Job3_StartDate),"",IF(MID(Job3_Pattern,MOD(D48-Job3_StartDate,LEN(Job3_Pattern))+1,1)=Job3_Shift1_Code,1,IF(MID(Job3_Pattern,MOD(D48-Job3_StartDate,LEN(Job3_Pattern))+1,1)=Job3_Shift2_Code,2,IF(MID(Job3_Pattern,MOD(D48-Job3_StartDate,LEN(Job3_Pattern))+1,1)=Job3_Shift3_Code,3,""))))</f>
        <v/>
      </c>
      <c r="E57" s="7" t="str">
        <f t="shared" ca="1" si="20"/>
        <v/>
      </c>
      <c r="F57" s="7" t="str">
        <f t="shared" ca="1" si="20"/>
        <v/>
      </c>
      <c r="G57" s="7" t="str">
        <f t="shared" ca="1" si="20"/>
        <v/>
      </c>
      <c r="H57" s="7" t="str">
        <f t="shared" ca="1" si="20"/>
        <v/>
      </c>
      <c r="I57" s="7" t="str">
        <f t="shared" ca="1" si="20"/>
        <v/>
      </c>
      <c r="J57" s="7" t="str">
        <f t="shared" ca="1" si="20"/>
        <v/>
      </c>
      <c r="K57" s="7" t="str">
        <f t="shared" ca="1" si="20"/>
        <v/>
      </c>
      <c r="L57" s="7" t="str">
        <f t="shared" ca="1" si="20"/>
        <v/>
      </c>
      <c r="M57" s="7" t="str">
        <f t="shared" ca="1" si="20"/>
        <v/>
      </c>
      <c r="N57" s="7" t="str">
        <f t="shared" ca="1" si="20"/>
        <v/>
      </c>
      <c r="O57" s="7" t="str">
        <f t="shared" ca="1" si="20"/>
        <v/>
      </c>
      <c r="P57" s="7" t="str">
        <f t="shared" ca="1" si="20"/>
        <v/>
      </c>
      <c r="Q57" s="7" t="str">
        <f t="shared" ca="1" si="20"/>
        <v/>
      </c>
      <c r="R57" s="7" t="str">
        <f t="shared" ca="1" si="20"/>
        <v/>
      </c>
      <c r="S57" s="7" t="str">
        <f t="shared" ca="1" si="20"/>
        <v/>
      </c>
      <c r="T57" s="7" t="str">
        <f t="shared" ca="1" si="20"/>
        <v/>
      </c>
      <c r="U57" s="7" t="str">
        <f t="shared" ca="1" si="20"/>
        <v/>
      </c>
      <c r="V57" s="7" t="str">
        <f t="shared" ca="1" si="20"/>
        <v/>
      </c>
      <c r="W57" s="7" t="str">
        <f t="shared" ca="1" si="20"/>
        <v/>
      </c>
      <c r="X57" s="7">
        <f t="shared" ca="1" si="20"/>
        <v>3</v>
      </c>
      <c r="Y57" s="7" t="str">
        <f t="shared" ca="1" si="20"/>
        <v/>
      </c>
      <c r="Z57" s="7" t="str">
        <f t="shared" ca="1" si="20"/>
        <v/>
      </c>
      <c r="AA57" s="7" t="str">
        <f t="shared" ca="1" si="20"/>
        <v/>
      </c>
      <c r="AB57" s="7">
        <f t="shared" ca="1" si="20"/>
        <v>3</v>
      </c>
      <c r="AC57" s="7" t="str">
        <f t="shared" ca="1" si="20"/>
        <v/>
      </c>
      <c r="AD57" s="7" t="str">
        <f t="shared" ca="1" si="20"/>
        <v/>
      </c>
      <c r="AE57" s="7" t="str">
        <f t="shared" ca="1" si="20"/>
        <v/>
      </c>
      <c r="AF57" s="7" t="str">
        <f t="shared" ca="1" si="20"/>
        <v/>
      </c>
      <c r="AG57" s="7" t="str">
        <f t="shared" ca="1" si="20"/>
        <v/>
      </c>
      <c r="AH57" s="7" t="str">
        <f t="shared" ca="1" si="20"/>
        <v/>
      </c>
      <c r="AI57" s="7" t="str">
        <f t="shared" ca="1" si="20"/>
        <v/>
      </c>
    </row>
  </sheetData>
  <mergeCells count="205">
    <mergeCell ref="AD2:AI2"/>
    <mergeCell ref="D10:G10"/>
    <mergeCell ref="H10:J10"/>
    <mergeCell ref="K10:N10"/>
    <mergeCell ref="O10:R10"/>
    <mergeCell ref="B4:B5"/>
    <mergeCell ref="D4:G4"/>
    <mergeCell ref="H4:J4"/>
    <mergeCell ref="K4:N4"/>
    <mergeCell ref="O4:R4"/>
    <mergeCell ref="D6:G6"/>
    <mergeCell ref="H6:J6"/>
    <mergeCell ref="K6:N6"/>
    <mergeCell ref="O6:R6"/>
    <mergeCell ref="D8:G8"/>
    <mergeCell ref="H8:J8"/>
    <mergeCell ref="K8:N8"/>
    <mergeCell ref="O8:R8"/>
    <mergeCell ref="D9:G9"/>
    <mergeCell ref="H9:J9"/>
    <mergeCell ref="K9:N9"/>
    <mergeCell ref="O9:R9"/>
    <mergeCell ref="D7:G7"/>
    <mergeCell ref="H7:J7"/>
    <mergeCell ref="K7:N7"/>
    <mergeCell ref="O7:R7"/>
    <mergeCell ref="B13:B14"/>
    <mergeCell ref="C13:C14"/>
    <mergeCell ref="D13:G13"/>
    <mergeCell ref="H13:J13"/>
    <mergeCell ref="K13:N13"/>
    <mergeCell ref="O13:R13"/>
    <mergeCell ref="D11:G11"/>
    <mergeCell ref="H11:J11"/>
    <mergeCell ref="K11:N11"/>
    <mergeCell ref="O11:R11"/>
    <mergeCell ref="H14:J14"/>
    <mergeCell ref="K14:N14"/>
    <mergeCell ref="O14:R14"/>
    <mergeCell ref="I15:J15"/>
    <mergeCell ref="K15:L15"/>
    <mergeCell ref="M15:N15"/>
    <mergeCell ref="O15:P15"/>
    <mergeCell ref="Q15:R15"/>
    <mergeCell ref="D12:G12"/>
    <mergeCell ref="H12:J12"/>
    <mergeCell ref="K12:N12"/>
    <mergeCell ref="O12:R12"/>
    <mergeCell ref="D17:G17"/>
    <mergeCell ref="H17:J17"/>
    <mergeCell ref="K17:L17"/>
    <mergeCell ref="M17:N17"/>
    <mergeCell ref="O17:P17"/>
    <mergeCell ref="Q17:R17"/>
    <mergeCell ref="D16:G16"/>
    <mergeCell ref="H16:J16"/>
    <mergeCell ref="K16:L16"/>
    <mergeCell ref="M16:N16"/>
    <mergeCell ref="O16:P16"/>
    <mergeCell ref="Q16:R16"/>
    <mergeCell ref="T20:W20"/>
    <mergeCell ref="D21:G21"/>
    <mergeCell ref="L21:O21"/>
    <mergeCell ref="P21:S21"/>
    <mergeCell ref="P22:S22"/>
    <mergeCell ref="D18:G18"/>
    <mergeCell ref="H18:J18"/>
    <mergeCell ref="K18:L18"/>
    <mergeCell ref="M18:N18"/>
    <mergeCell ref="O18:P18"/>
    <mergeCell ref="Q18:R18"/>
    <mergeCell ref="T21:W21"/>
    <mergeCell ref="T22:W22"/>
    <mergeCell ref="B20:B21"/>
    <mergeCell ref="D20:G20"/>
    <mergeCell ref="L20:O20"/>
    <mergeCell ref="P20:S20"/>
    <mergeCell ref="F23:G23"/>
    <mergeCell ref="H23:I23"/>
    <mergeCell ref="J23:K23"/>
    <mergeCell ref="L23:M23"/>
    <mergeCell ref="N23:O23"/>
    <mergeCell ref="D22:E22"/>
    <mergeCell ref="F22:G22"/>
    <mergeCell ref="H22:I22"/>
    <mergeCell ref="J22:K22"/>
    <mergeCell ref="L22:M22"/>
    <mergeCell ref="N22:O22"/>
    <mergeCell ref="P23:S23"/>
    <mergeCell ref="B37:B38"/>
    <mergeCell ref="L30:O30"/>
    <mergeCell ref="H35:K35"/>
    <mergeCell ref="L35:O35"/>
    <mergeCell ref="D33:G33"/>
    <mergeCell ref="D35:G35"/>
    <mergeCell ref="D41:G41"/>
    <mergeCell ref="H41:K41"/>
    <mergeCell ref="L41:O41"/>
    <mergeCell ref="D32:G32"/>
    <mergeCell ref="H30:K30"/>
    <mergeCell ref="H32:K32"/>
    <mergeCell ref="T23:W23"/>
    <mergeCell ref="D23:E23"/>
    <mergeCell ref="D28:G28"/>
    <mergeCell ref="H28:K28"/>
    <mergeCell ref="L28:O28"/>
    <mergeCell ref="D29:G29"/>
    <mergeCell ref="H29:K29"/>
    <mergeCell ref="L29:O29"/>
    <mergeCell ref="B28:B29"/>
    <mergeCell ref="F25:G25"/>
    <mergeCell ref="H25:I25"/>
    <mergeCell ref="P24:S24"/>
    <mergeCell ref="T24:W24"/>
    <mergeCell ref="P25:S25"/>
    <mergeCell ref="D24:E24"/>
    <mergeCell ref="F24:G24"/>
    <mergeCell ref="H24:I24"/>
    <mergeCell ref="J24:K24"/>
    <mergeCell ref="L24:M24"/>
    <mergeCell ref="N24:O24"/>
    <mergeCell ref="T25:W25"/>
    <mergeCell ref="D25:E25"/>
    <mergeCell ref="J25:K25"/>
    <mergeCell ref="L25:M25"/>
    <mergeCell ref="N25:O25"/>
    <mergeCell ref="L40:O40"/>
    <mergeCell ref="P33:S33"/>
    <mergeCell ref="D34:G34"/>
    <mergeCell ref="H34:K34"/>
    <mergeCell ref="L34:O34"/>
    <mergeCell ref="P34:S34"/>
    <mergeCell ref="H33:K33"/>
    <mergeCell ref="L33:O33"/>
    <mergeCell ref="P40:S40"/>
    <mergeCell ref="P30:S30"/>
    <mergeCell ref="H31:K31"/>
    <mergeCell ref="L31:O31"/>
    <mergeCell ref="P31:S31"/>
    <mergeCell ref="D30:G30"/>
    <mergeCell ref="D31:G31"/>
    <mergeCell ref="L32:O32"/>
    <mergeCell ref="P32:S32"/>
    <mergeCell ref="P28:S28"/>
    <mergeCell ref="P29:S29"/>
    <mergeCell ref="P41:S41"/>
    <mergeCell ref="D42:G42"/>
    <mergeCell ref="H42:K42"/>
    <mergeCell ref="L42:O42"/>
    <mergeCell ref="P42:S42"/>
    <mergeCell ref="P35:S35"/>
    <mergeCell ref="D43:G43"/>
    <mergeCell ref="H43:K43"/>
    <mergeCell ref="L43:O43"/>
    <mergeCell ref="P43:S43"/>
    <mergeCell ref="D37:G37"/>
    <mergeCell ref="H37:K37"/>
    <mergeCell ref="L37:O37"/>
    <mergeCell ref="P37:S37"/>
    <mergeCell ref="D38:G38"/>
    <mergeCell ref="H38:K38"/>
    <mergeCell ref="L38:O38"/>
    <mergeCell ref="P38:S38"/>
    <mergeCell ref="D39:G39"/>
    <mergeCell ref="H39:K39"/>
    <mergeCell ref="L39:O39"/>
    <mergeCell ref="P39:S39"/>
    <mergeCell ref="D40:G40"/>
    <mergeCell ref="H40:K40"/>
    <mergeCell ref="H52:K52"/>
    <mergeCell ref="L52:O52"/>
    <mergeCell ref="P52:S52"/>
    <mergeCell ref="B48:B49"/>
    <mergeCell ref="D48:G48"/>
    <mergeCell ref="H48:K48"/>
    <mergeCell ref="L48:O48"/>
    <mergeCell ref="P48:S48"/>
    <mergeCell ref="D49:G49"/>
    <mergeCell ref="H49:K49"/>
    <mergeCell ref="L49:O49"/>
    <mergeCell ref="P49:S49"/>
    <mergeCell ref="D53:G53"/>
    <mergeCell ref="H53:K53"/>
    <mergeCell ref="L53:O53"/>
    <mergeCell ref="P53:S53"/>
    <mergeCell ref="D54:G54"/>
    <mergeCell ref="H54:K54"/>
    <mergeCell ref="L54:O54"/>
    <mergeCell ref="P54:S54"/>
    <mergeCell ref="T48:W48"/>
    <mergeCell ref="T49:W49"/>
    <mergeCell ref="T50:W50"/>
    <mergeCell ref="T51:W51"/>
    <mergeCell ref="T52:W52"/>
    <mergeCell ref="T53:W53"/>
    <mergeCell ref="T54:W54"/>
    <mergeCell ref="D50:G50"/>
    <mergeCell ref="H50:K50"/>
    <mergeCell ref="L50:O50"/>
    <mergeCell ref="P50:S50"/>
    <mergeCell ref="D51:G51"/>
    <mergeCell ref="H51:K51"/>
    <mergeCell ref="L51:O51"/>
    <mergeCell ref="P51:S51"/>
    <mergeCell ref="D52:G52"/>
  </mergeCells>
  <dataValidations count="3">
    <dataValidation allowBlank="1" showInputMessage="1" showErrorMessage="1" promptTitle="Shift Work Calendar" sqref="A2" xr:uid="{5AD7E466-A906-40F9-81DC-57EE2CE2CC85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39191041-6482-4F82-870B-671DA6714CA9}"/>
    <dataValidation allowBlank="1" showInputMessage="1" showErrorMessage="1" prompt="Type the year in this cell." sqref="AD2:AI2" xr:uid="{B6CEE8D2-E71A-46B2-AB48-B3E2C988FE44}"/>
  </dataValidations>
  <printOptions horizontalCentered="1" verticalCentered="1"/>
  <pageMargins left="0.3" right="0.3" top="0.3" bottom="0.3" header="0.3" footer="0.3"/>
  <pageSetup scale="55" orientation="portrait" r:id="rId1"/>
  <ignoredErrors>
    <ignoredError sqref="H35" numberStoredAsText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8FD471-3CF8-4090-B1C4-2B6AC5D3F254}">
          <x14:formula1>
            <xm:f>Sheet1!$B$3:$B$11</xm:f>
          </x14:formula1>
          <xm:sqref>D9:R9</xm:sqref>
        </x14:dataValidation>
        <x14:dataValidation type="list" allowBlank="1" showInputMessage="1" showErrorMessage="1" xr:uid="{01DE56D7-0EA3-4779-9909-1DB87F6D9D7F}">
          <x14:formula1>
            <xm:f>Sheet1!$B$20:$B$25</xm:f>
          </x14:formula1>
          <xm:sqref>D8:R8</xm:sqref>
        </x14:dataValidation>
        <x14:dataValidation type="list" allowBlank="1" showInputMessage="1" showErrorMessage="1" xr:uid="{954DAA2C-7928-4D5A-BB0A-663C357E0D0D}">
          <x14:formula1>
            <xm:f>Sheet1!$B$13:$B$18</xm:f>
          </x14:formula1>
          <xm:sqref>D7:R7</xm:sqref>
        </x14:dataValidation>
        <x14:dataValidation type="list" allowBlank="1" showInputMessage="1" showErrorMessage="1" xr:uid="{239F4322-BDDA-492A-8C13-C04DE06818D0}">
          <x14:formula1>
            <xm:f>Sheet1!$B$48:$B$53</xm:f>
          </x14:formula1>
          <xm:sqref>D10:R12</xm:sqref>
        </x14:dataValidation>
        <x14:dataValidation type="list" allowBlank="1" showInputMessage="1" showErrorMessage="1" xr:uid="{2600075D-C021-4AA1-A2BC-474C1840E568}">
          <x14:formula1>
            <xm:f>Sheet1!$B$39:$B$46</xm:f>
          </x14:formula1>
          <xm:sqref>D6:R6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FCFC-23BE-43F9-923A-F1B86CAE8C2C}">
  <sheetPr>
    <pageSetUpPr fitToPage="1"/>
  </sheetPr>
  <dimension ref="A1:AO59"/>
  <sheetViews>
    <sheetView showGridLines="0" topLeftCell="A29" zoomScaleNormal="100" workbookViewId="0">
      <selection activeCell="M62" sqref="M62"/>
    </sheetView>
  </sheetViews>
  <sheetFormatPr defaultColWidth="0" defaultRowHeight="18.95" customHeight="1" x14ac:dyDescent="0.3"/>
  <cols>
    <col min="1" max="1" width="3.77734375" style="3" customWidth="1"/>
    <col min="2" max="2" width="21.77734375" style="69" customWidth="1"/>
    <col min="3" max="3" width="10.88671875" style="69" customWidth="1"/>
    <col min="4" max="36" width="3.77734375" style="3" customWidth="1"/>
    <col min="37" max="41" width="0" style="3" hidden="1" customWidth="1"/>
    <col min="42" max="16384" width="8.88671875" style="3" hidden="1"/>
  </cols>
  <sheetData>
    <row r="1" spans="2:35" ht="4.9000000000000004" customHeight="1" x14ac:dyDescent="0.3"/>
    <row r="2" spans="2:35" s="59" customFormat="1" ht="60" customHeight="1" x14ac:dyDescent="0.8">
      <c r="B2" s="62" t="s">
        <v>258</v>
      </c>
      <c r="C2" s="62"/>
      <c r="D2" s="63"/>
      <c r="E2" s="63"/>
      <c r="F2" s="63"/>
      <c r="G2" s="63"/>
      <c r="H2" s="63"/>
      <c r="I2" s="63"/>
      <c r="J2" s="63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6"/>
      <c r="AD2" s="232">
        <f ca="1">IF(MONTH(TODAY())=12,YEAR(TODAY())+1,YEAR(TODAY()))</f>
        <v>2026</v>
      </c>
      <c r="AE2" s="232"/>
      <c r="AF2" s="232"/>
      <c r="AG2" s="232"/>
      <c r="AH2" s="232"/>
      <c r="AI2" s="232"/>
    </row>
    <row r="3" spans="2:35" customFormat="1" ht="19.899999999999999" customHeight="1" x14ac:dyDescent="0.3">
      <c r="B3" s="70"/>
      <c r="C3" s="70"/>
    </row>
    <row r="4" spans="2:35" s="75" customFormat="1" ht="19.899999999999999" hidden="1" customHeight="1" x14ac:dyDescent="0.3">
      <c r="B4" s="211">
        <f ca="1">DATE(CalendarYear,1,1)</f>
        <v>46023</v>
      </c>
      <c r="C4" s="82"/>
      <c r="D4" s="213" t="s">
        <v>5</v>
      </c>
      <c r="E4" s="214"/>
      <c r="F4" s="214"/>
      <c r="G4" s="214"/>
      <c r="H4" s="214"/>
      <c r="I4" s="214"/>
      <c r="J4" s="214"/>
      <c r="K4" s="213" t="s">
        <v>7</v>
      </c>
      <c r="L4" s="214"/>
      <c r="M4" s="214"/>
      <c r="N4" s="214"/>
      <c r="O4" s="213" t="s">
        <v>8</v>
      </c>
      <c r="P4" s="214"/>
      <c r="Q4" s="214"/>
      <c r="R4" s="214"/>
      <c r="S4" s="57">
        <f ca="1">IF(DAY(JanSun1)=1,IF(AND(YEAR(JanSun1+14)=CalendarYear,MONTH(JanSun1+14)=1),JanSun1+14,""),IF(AND(YEAR(JanSun1+21)=CalendarYear,MONTH(JanSun1+21)=1),JanSun1+21,""))</f>
        <v>46039</v>
      </c>
      <c r="T4" s="57">
        <f ca="1">IF(DAY(JanSun1)=1,IF(AND(YEAR(JanSun1+15)=CalendarYear,MONTH(JanSun1+15)=1),JanSun1+15,""),IF(AND(YEAR(JanSun1+22)=CalendarYear,MONTH(JanSun1+22)=1),JanSun1+22,""))</f>
        <v>46040</v>
      </c>
      <c r="U4" s="57">
        <f ca="1">IF(DAY(JanSun1)=1,IF(AND(YEAR(JanSun1+16)=CalendarYear,MONTH(JanSun1+16)=1),JanSun1+16,""),IF(AND(YEAR(JanSun1+23)=CalendarYear,MONTH(JanSun1+23)=1),JanSun1+23,""))</f>
        <v>46041</v>
      </c>
      <c r="V4" s="57">
        <f ca="1">IF(DAY(JanSun1)=1,IF(AND(YEAR(JanSun1+17)=CalendarYear,MONTH(JanSun1+17)=1),JanSun1+17,""),IF(AND(YEAR(JanSun1+24)=CalendarYear,MONTH(JanSun1+24)=1),JanSun1+24,""))</f>
        <v>46042</v>
      </c>
      <c r="W4" s="57">
        <f ca="1">IF(DAY(JanSun1)=1,IF(AND(YEAR(JanSun1+18)=CalendarYear,MONTH(JanSun1+18)=1),JanSun1+18,""),IF(AND(YEAR(JanSun1+25)=CalendarYear,MONTH(JanSun1+25)=1),JanSun1+25,""))</f>
        <v>46043</v>
      </c>
      <c r="X4" s="57">
        <f ca="1">IF(DAY(JanSun1)=1,IF(AND(YEAR(JanSun1+19)=CalendarYear,MONTH(JanSun1+19)=1),JanSun1+19,""),IF(AND(YEAR(JanSun1+26)=CalendarYear,MONTH(JanSun1+26)=1),JanSun1+26,""))</f>
        <v>46044</v>
      </c>
      <c r="Y4" s="57">
        <f ca="1">IF(DAY(JanSun1)=1,IF(AND(YEAR(JanSun1+20)=CalendarYear,MONTH(JanSun1+20)=1),JanSun1+20,""),IF(AND(YEAR(JanSun1+27)=CalendarYear,MONTH(JanSun1+27)=1),JanSun1+27,""))</f>
        <v>46045</v>
      </c>
      <c r="Z4" s="57">
        <f ca="1">IF(DAY(JanSun1)=1,IF(AND(YEAR(JanSun1+21)=CalendarYear,MONTH(JanSun1+21)=1),JanSun1+21,""),IF(AND(YEAR(JanSun1+28)=CalendarYear,MONTH(JanSun1+28)=1),JanSun1+28,""))</f>
        <v>46046</v>
      </c>
      <c r="AA4" s="57">
        <f ca="1">IF(DAY(JanSun1)=1,IF(AND(YEAR(JanSun1+22)=CalendarYear,MONTH(JanSun1+22)=1),JanSun1+22,""),IF(AND(YEAR(JanSun1+29)=CalendarYear,MONTH(JanSun1+29)=1),JanSun1+29,""))</f>
        <v>46047</v>
      </c>
      <c r="AB4" s="57">
        <f ca="1">IF(DAY(JanSun1)=1,IF(AND(YEAR(JanSun1+23)=CalendarYear,MONTH(JanSun1+23)=1),JanSun1+23,""),IF(AND(YEAR(JanSun1+30)=CalendarYear,MONTH(JanSun1+30)=1),JanSun1+30,""))</f>
        <v>46048</v>
      </c>
      <c r="AC4" s="57">
        <f ca="1">IF(DAY(JanSun1)=1,IF(AND(YEAR(JanSun1+24)=CalendarYear,MONTH(JanSun1+24)=1),JanSun1+24,""),IF(AND(YEAR(JanSun1+31)=CalendarYear,MONTH(JanSun1+31)=1),JanSun1+31,""))</f>
        <v>46049</v>
      </c>
      <c r="AD4" s="9">
        <f ca="1">IF(DAY(JanSun1)=1,IF(AND(YEAR(JanSun1+25)=CalendarYear,MONTH(JanSun1+25)=1),JanSun1+25,""),IF(AND(YEAR(JanSun1+32)=CalendarYear,MONTH(JanSun1+32)=1),JanSun1+32,""))</f>
        <v>46050</v>
      </c>
      <c r="AE4" s="9">
        <f ca="1">IF(DAY(JanSun1)=1,IF(AND(YEAR(JanSun1+26)=CalendarYear,MONTH(JanSun1+26)=1),JanSun1+26,""),IF(AND(YEAR(JanSun1+33)=CalendarYear,MONTH(JanSun1+33)=1),JanSun1+33,""))</f>
        <v>46051</v>
      </c>
      <c r="AF4" s="9">
        <f ca="1">IF(DAY(JanSun1)=1,IF(AND(YEAR(JanSun1+27)=CalendarYear,MONTH(JanSun1+27)=1),JanSun1+27,""),IF(AND(YEAR(JanSun1+34)=CalendarYear,MONTH(JanSun1+34)=1),JanSun1+34,""))</f>
        <v>46052</v>
      </c>
      <c r="AG4" s="9">
        <f ca="1">IF(DAY(JanSun1)=1,IF(AND(YEAR(JanSun1+28)=CalendarYear,MONTH(JanSun1+28)=1),JanSun1+28,""),IF(AND(YEAR(JanSun1+35)=CalendarYear,MONTH(JanSun1+35)=1),JanSun1+35,""))</f>
        <v>46053</v>
      </c>
      <c r="AH4" s="9" t="str">
        <f ca="1">IF(DAY(JanSun1)=1,IF(AND(YEAR(JanSun1+29)=CalendarYear,MONTH(JanSun1+29)=1),JanSun1+29,""),IF(AND(YEAR(JanSun1+36)=CalendarYear,MONTH(JanSun1+36)=1),JanSun1+36,""))</f>
        <v/>
      </c>
      <c r="AI4" s="11" t="str">
        <f ca="1">IF(DAY(JanSun1)=1,IF(AND(YEAR(JanSun1+30)=CalendarYear,MONTH(JanSun1+30)=1),JanSun1+30,""),IF(AND(YEAR(JanSun1+37)=CalendarYear,MONTH(JanSun1+37)=1),JanSun1+37,""))</f>
        <v/>
      </c>
    </row>
    <row r="5" spans="2:35" s="75" customFormat="1" ht="19.899999999999999" hidden="1" customHeight="1" thickBot="1" x14ac:dyDescent="0.35">
      <c r="B5" s="239"/>
      <c r="C5" s="90"/>
      <c r="D5" s="87" t="s">
        <v>9</v>
      </c>
      <c r="E5" s="80" t="s">
        <v>10</v>
      </c>
      <c r="F5" s="80" t="s">
        <v>11</v>
      </c>
      <c r="G5" s="80" t="s">
        <v>12</v>
      </c>
      <c r="H5" s="80" t="s">
        <v>10</v>
      </c>
      <c r="I5" s="80" t="s">
        <v>11</v>
      </c>
      <c r="J5" s="80" t="s">
        <v>12</v>
      </c>
      <c r="K5" s="87" t="s">
        <v>9</v>
      </c>
      <c r="L5" s="80" t="s">
        <v>10</v>
      </c>
      <c r="M5" s="80" t="s">
        <v>11</v>
      </c>
      <c r="N5" s="80" t="s">
        <v>12</v>
      </c>
      <c r="O5" s="87" t="s">
        <v>9</v>
      </c>
      <c r="P5" s="80" t="s">
        <v>10</v>
      </c>
      <c r="Q5" s="80" t="s">
        <v>11</v>
      </c>
      <c r="R5" s="80" t="s">
        <v>12</v>
      </c>
      <c r="S5" s="58" t="s">
        <v>14</v>
      </c>
      <c r="T5" s="58" t="s">
        <v>15</v>
      </c>
      <c r="U5" s="58" t="s">
        <v>9</v>
      </c>
      <c r="V5" s="58" t="s">
        <v>10</v>
      </c>
      <c r="W5" s="58" t="s">
        <v>11</v>
      </c>
      <c r="X5" s="58" t="s">
        <v>16</v>
      </c>
      <c r="Y5" s="58" t="s">
        <v>13</v>
      </c>
      <c r="Z5" s="58" t="s">
        <v>14</v>
      </c>
      <c r="AA5" s="58" t="s">
        <v>15</v>
      </c>
      <c r="AB5" s="58" t="s">
        <v>9</v>
      </c>
      <c r="AC5" s="58" t="s">
        <v>10</v>
      </c>
      <c r="AD5" s="79" t="s">
        <v>11</v>
      </c>
      <c r="AE5" s="10" t="s">
        <v>16</v>
      </c>
      <c r="AF5" s="10" t="s">
        <v>13</v>
      </c>
      <c r="AG5" s="10" t="s">
        <v>14</v>
      </c>
      <c r="AH5" s="10" t="s">
        <v>15</v>
      </c>
      <c r="AI5" s="12" t="s">
        <v>9</v>
      </c>
    </row>
    <row r="6" spans="2:35" ht="19.899999999999999" hidden="1" customHeight="1" thickBot="1" x14ac:dyDescent="0.35">
      <c r="B6" s="83"/>
      <c r="C6" s="92"/>
      <c r="D6" s="193"/>
      <c r="E6" s="194"/>
      <c r="F6" s="194"/>
      <c r="G6" s="194"/>
      <c r="H6" s="194"/>
      <c r="I6" s="194"/>
      <c r="J6" s="194"/>
      <c r="K6" s="193"/>
      <c r="L6" s="194"/>
      <c r="M6" s="194"/>
      <c r="N6" s="194"/>
      <c r="O6" s="193"/>
      <c r="P6" s="194"/>
      <c r="Q6" s="194"/>
      <c r="R6" s="194"/>
      <c r="S6" s="6" t="str">
        <f t="shared" ref="S6:AI6" ca="1" si="0">IF(OR(NOT(ISNUMBER(S4)),S4&lt;Job1_StartDate),"",IF(MID(Job1_Pattern,MOD(S4-Job1_StartDate,LEN(Job1_Pattern))+1,1)=Job1_Shift1_Code,1,IF(MID(Job1_Pattern,MOD(S4-Job1_StartDate,LEN(Job1_Pattern))+1,1)=Job1_Shift2_Code,2,IF(MID(Job1_Pattern,MOD(S4-Job1_StartDate,LEN(Job1_Pattern))+1,1)=Job1_Shift3_Code,3,""))))</f>
        <v/>
      </c>
      <c r="T6" s="6" t="str">
        <f t="shared" ca="1" si="0"/>
        <v/>
      </c>
      <c r="U6" s="6" t="str">
        <f t="shared" ca="1" si="0"/>
        <v/>
      </c>
      <c r="V6" s="6">
        <f t="shared" ca="1" si="0"/>
        <v>1</v>
      </c>
      <c r="W6" s="6" t="str">
        <f t="shared" ca="1" si="0"/>
        <v/>
      </c>
      <c r="X6" s="6" t="str">
        <f t="shared" ca="1" si="0"/>
        <v/>
      </c>
      <c r="Y6" s="6" t="str">
        <f t="shared" ca="1" si="0"/>
        <v/>
      </c>
      <c r="Z6" s="6">
        <f t="shared" ca="1" si="0"/>
        <v>1</v>
      </c>
      <c r="AA6" s="6" t="str">
        <f t="shared" ca="1" si="0"/>
        <v/>
      </c>
      <c r="AB6" s="6" t="str">
        <f t="shared" ca="1" si="0"/>
        <v/>
      </c>
      <c r="AC6" s="6" t="str">
        <f t="shared" ca="1" si="0"/>
        <v/>
      </c>
      <c r="AD6" s="6">
        <f t="shared" ca="1" si="0"/>
        <v>1</v>
      </c>
      <c r="AE6" s="6" t="str">
        <f t="shared" ca="1" si="0"/>
        <v/>
      </c>
      <c r="AF6" s="6" t="str">
        <f t="shared" ca="1" si="0"/>
        <v/>
      </c>
      <c r="AG6" s="6" t="str">
        <f t="shared" ca="1" si="0"/>
        <v/>
      </c>
      <c r="AH6" s="6" t="str">
        <f t="shared" ca="1" si="0"/>
        <v/>
      </c>
      <c r="AI6" s="6" t="str">
        <f t="shared" ca="1" si="0"/>
        <v/>
      </c>
    </row>
    <row r="7" spans="2:35" ht="19.899999999999999" hidden="1" customHeight="1" thickBot="1" x14ac:dyDescent="0.35">
      <c r="B7" s="84"/>
      <c r="C7" s="91"/>
      <c r="D7" s="193"/>
      <c r="E7" s="194"/>
      <c r="F7" s="194"/>
      <c r="G7" s="194"/>
      <c r="H7" s="194"/>
      <c r="I7" s="194"/>
      <c r="J7" s="194"/>
      <c r="K7" s="193"/>
      <c r="L7" s="194"/>
      <c r="M7" s="194"/>
      <c r="N7" s="194"/>
      <c r="O7" s="193"/>
      <c r="P7" s="194"/>
      <c r="Q7" s="194"/>
      <c r="R7" s="194"/>
      <c r="S7" s="7" t="str">
        <f t="shared" ref="S7:AI7" ca="1" si="1">IF(OR(NOT(ISNUMBER(S4)),S4&lt;Job2_StartDate),"",IF(MID(Job2_Pattern,MOD(S4-Job2_StartDate,LEN(Job2_Pattern))+1,1)=Job2_Shift1_Code,1,IF(MID(Job2_Pattern,MOD(S4-Job2_StartDate,LEN(Job2_Pattern))+1,1)=Job2_Shift2_Code,2,IF(MID(Job2_Pattern,MOD(S4-Job2_StartDate,LEN(Job2_Pattern))+1,1)=Job2_Shift3_Code,3,""))))</f>
        <v/>
      </c>
      <c r="T7" s="7" t="str">
        <f t="shared" ca="1" si="1"/>
        <v/>
      </c>
      <c r="U7" s="7">
        <f t="shared" ca="1" si="1"/>
        <v>2</v>
      </c>
      <c r="V7" s="7" t="str">
        <f t="shared" ca="1" si="1"/>
        <v/>
      </c>
      <c r="W7" s="7" t="str">
        <f t="shared" ca="1" si="1"/>
        <v/>
      </c>
      <c r="X7" s="7" t="str">
        <f t="shared" ca="1" si="1"/>
        <v/>
      </c>
      <c r="Y7" s="7">
        <f t="shared" ca="1" si="1"/>
        <v>2</v>
      </c>
      <c r="Z7" s="7" t="str">
        <f t="shared" ca="1" si="1"/>
        <v/>
      </c>
      <c r="AA7" s="7" t="str">
        <f t="shared" ca="1" si="1"/>
        <v/>
      </c>
      <c r="AB7" s="7" t="str">
        <f t="shared" ca="1" si="1"/>
        <v/>
      </c>
      <c r="AC7" s="7">
        <f t="shared" ca="1" si="1"/>
        <v>2</v>
      </c>
      <c r="AD7" s="7" t="str">
        <f t="shared" ca="1" si="1"/>
        <v/>
      </c>
      <c r="AE7" s="7" t="str">
        <f t="shared" ca="1" si="1"/>
        <v/>
      </c>
      <c r="AF7" s="7" t="str">
        <f t="shared" ca="1" si="1"/>
        <v/>
      </c>
      <c r="AG7" s="7">
        <f t="shared" ca="1" si="1"/>
        <v>2</v>
      </c>
      <c r="AH7" s="7" t="str">
        <f t="shared" ca="1" si="1"/>
        <v/>
      </c>
      <c r="AI7" s="7" t="str">
        <f t="shared" ca="1" si="1"/>
        <v/>
      </c>
    </row>
    <row r="8" spans="2:35" ht="19.899999999999999" hidden="1" customHeight="1" thickBot="1" x14ac:dyDescent="0.35">
      <c r="B8" s="84"/>
      <c r="C8" s="91"/>
      <c r="D8" s="193"/>
      <c r="E8" s="194"/>
      <c r="F8" s="194"/>
      <c r="G8" s="194"/>
      <c r="H8" s="194"/>
      <c r="I8" s="194"/>
      <c r="J8" s="194"/>
      <c r="K8" s="193"/>
      <c r="L8" s="194"/>
      <c r="M8" s="194"/>
      <c r="N8" s="194"/>
      <c r="O8" s="193"/>
      <c r="P8" s="194"/>
      <c r="Q8" s="194"/>
      <c r="R8" s="194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2:35" ht="19.899999999999999" hidden="1" customHeight="1" thickBot="1" x14ac:dyDescent="0.35">
      <c r="B9" s="84"/>
      <c r="C9" s="91"/>
      <c r="D9" s="193"/>
      <c r="E9" s="194"/>
      <c r="F9" s="194"/>
      <c r="G9" s="194"/>
      <c r="H9" s="194"/>
      <c r="I9" s="194"/>
      <c r="J9" s="194"/>
      <c r="K9" s="193"/>
      <c r="L9" s="194"/>
      <c r="M9" s="194"/>
      <c r="N9" s="194"/>
      <c r="O9" s="193"/>
      <c r="P9" s="194"/>
      <c r="Q9" s="194"/>
      <c r="R9" s="194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2:35" ht="19.899999999999999" hidden="1" customHeight="1" thickBot="1" x14ac:dyDescent="0.35">
      <c r="B10" s="84"/>
      <c r="C10" s="91"/>
      <c r="D10" s="193"/>
      <c r="E10" s="194"/>
      <c r="F10" s="194"/>
      <c r="G10" s="194"/>
      <c r="H10" s="194"/>
      <c r="I10" s="194"/>
      <c r="J10" s="194"/>
      <c r="K10" s="193"/>
      <c r="L10" s="194"/>
      <c r="M10" s="194"/>
      <c r="N10" s="194"/>
      <c r="O10" s="193"/>
      <c r="P10" s="194"/>
      <c r="Q10" s="194"/>
      <c r="R10" s="194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2:35" ht="19.899999999999999" hidden="1" customHeight="1" thickBot="1" x14ac:dyDescent="0.35">
      <c r="B11" s="84"/>
      <c r="C11" s="91"/>
      <c r="D11" s="193"/>
      <c r="E11" s="194"/>
      <c r="F11" s="194"/>
      <c r="G11" s="194"/>
      <c r="H11" s="194"/>
      <c r="I11" s="194"/>
      <c r="J11" s="194"/>
      <c r="K11" s="193"/>
      <c r="L11" s="194"/>
      <c r="M11" s="194"/>
      <c r="N11" s="194"/>
      <c r="O11" s="193"/>
      <c r="P11" s="194"/>
      <c r="Q11" s="194"/>
      <c r="R11" s="194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2:35" ht="19.899999999999999" hidden="1" customHeight="1" thickBot="1" x14ac:dyDescent="0.35">
      <c r="B12" s="85"/>
      <c r="C12" s="91"/>
      <c r="D12" s="193"/>
      <c r="E12" s="194"/>
      <c r="F12" s="194"/>
      <c r="G12" s="194"/>
      <c r="H12" s="194"/>
      <c r="I12" s="194"/>
      <c r="J12" s="194"/>
      <c r="K12" s="193"/>
      <c r="L12" s="194"/>
      <c r="M12" s="194"/>
      <c r="N12" s="194"/>
      <c r="O12" s="193"/>
      <c r="P12" s="194"/>
      <c r="Q12" s="194"/>
      <c r="R12" s="194"/>
      <c r="S12" s="7" t="str">
        <f t="shared" ref="S12:AI12" ca="1" si="2">IF(OR(NOT(ISNUMBER(S4)),S4&lt;Job3_StartDate),"",IF(MID(Job3_Pattern,MOD(S4-Job3_StartDate,LEN(Job3_Pattern))+1,1)=Job3_Shift1_Code,1,IF(MID(Job3_Pattern,MOD(S4-Job3_StartDate,LEN(Job3_Pattern))+1,1)=Job3_Shift2_Code,2,IF(MID(Job3_Pattern,MOD(S4-Job3_StartDate,LEN(Job3_Pattern))+1,1)=Job3_Shift3_Code,3,""))))</f>
        <v/>
      </c>
      <c r="T12" s="7" t="str">
        <f t="shared" ca="1" si="2"/>
        <v/>
      </c>
      <c r="U12" s="7" t="str">
        <f t="shared" ca="1" si="2"/>
        <v/>
      </c>
      <c r="V12" s="7">
        <f t="shared" ca="1" si="2"/>
        <v>3</v>
      </c>
      <c r="W12" s="7" t="str">
        <f t="shared" ca="1" si="2"/>
        <v/>
      </c>
      <c r="X12" s="7" t="str">
        <f t="shared" ca="1" si="2"/>
        <v/>
      </c>
      <c r="Y12" s="7" t="str">
        <f t="shared" ca="1" si="2"/>
        <v/>
      </c>
      <c r="Z12" s="7">
        <f t="shared" ca="1" si="2"/>
        <v>3</v>
      </c>
      <c r="AA12" s="7" t="str">
        <f t="shared" ca="1" si="2"/>
        <v/>
      </c>
      <c r="AB12" s="7" t="str">
        <f t="shared" ca="1" si="2"/>
        <v/>
      </c>
      <c r="AC12" s="7" t="str">
        <f t="shared" ca="1" si="2"/>
        <v/>
      </c>
      <c r="AD12" s="7">
        <f t="shared" ca="1" si="2"/>
        <v>3</v>
      </c>
      <c r="AE12" s="7" t="str">
        <f t="shared" ca="1" si="2"/>
        <v/>
      </c>
      <c r="AF12" s="7" t="str">
        <f t="shared" ca="1" si="2"/>
        <v/>
      </c>
      <c r="AG12" s="7" t="str">
        <f t="shared" ca="1" si="2"/>
        <v/>
      </c>
      <c r="AH12" s="7" t="str">
        <f t="shared" ca="1" si="2"/>
        <v/>
      </c>
      <c r="AI12" s="7" t="str">
        <f t="shared" ca="1" si="2"/>
        <v/>
      </c>
    </row>
    <row r="13" spans="2:35" s="76" customFormat="1" ht="19.899999999999999" hidden="1" customHeight="1" thickBot="1" x14ac:dyDescent="0.35">
      <c r="B13" s="240">
        <f ca="1">DATE(CalendarYear,2,1)</f>
        <v>46054</v>
      </c>
      <c r="C13" s="228" t="s">
        <v>17</v>
      </c>
      <c r="D13" s="213" t="s">
        <v>5</v>
      </c>
      <c r="E13" s="214"/>
      <c r="F13" s="214"/>
      <c r="G13" s="214"/>
      <c r="H13" s="214"/>
      <c r="I13" s="214"/>
      <c r="J13" s="214"/>
      <c r="K13" s="213" t="s">
        <v>7</v>
      </c>
      <c r="L13" s="214"/>
      <c r="M13" s="214"/>
      <c r="N13" s="214"/>
      <c r="O13" s="213" t="s">
        <v>8</v>
      </c>
      <c r="P13" s="214"/>
      <c r="Q13" s="214"/>
      <c r="R13" s="214"/>
      <c r="S13" s="89"/>
      <c r="T13" s="9"/>
      <c r="U13" s="9"/>
      <c r="V13" s="9"/>
      <c r="W13" s="9"/>
      <c r="X13" s="9"/>
      <c r="Y13" s="9"/>
      <c r="Z13" s="9"/>
      <c r="AA13" s="9" t="str">
        <f ca="1">IF(DAY(FebSun1)=1,IF(AND(YEAR(FebSun1+22)=CalendarYear,MONTH(FebSun1+22)=2),FebSun1+22,""),IF(AND(YEAR(FebSun1+29)=CalendarYear,MONTH(FebSun1+29)=2),FebSun1+29,""))</f>
        <v/>
      </c>
      <c r="AB13" s="9" t="str">
        <f ca="1">IF(DAY(FebSun1)=1,IF(AND(YEAR(FebSun1+23)=CalendarYear,MONTH(FebSun1+23)=2),FebSun1+23,""),IF(AND(YEAR(FebSun1+30)=CalendarYear,MONTH(FebSun1+30)=2),FebSun1+30,""))</f>
        <v/>
      </c>
      <c r="AC13" s="9" t="str">
        <f ca="1">IF(DAY(FebSun1)=1,IF(AND(YEAR(FebSun1+24)=CalendarYear,MONTH(FebSun1+24)=2),FebSun1+24,""),IF(AND(YEAR(FebSun1+31)=CalendarYear,MONTH(FebSun1+31)=2),FebSun1+31,""))</f>
        <v/>
      </c>
      <c r="AD13" s="9" t="str">
        <f ca="1">IF(DAY(FebSun1)=1,IF(AND(YEAR(FebSun1+25)=CalendarYear,MONTH(FebSun1+25)=2),FebSun1+25,""),IF(AND(YEAR(FebSun1+32)=CalendarYear,MONTH(FebSun1+32)=2),FebSun1+32,""))</f>
        <v/>
      </c>
      <c r="AE13" s="9" t="str">
        <f ca="1">IF(DAY(FebSun1)=1,IF(AND(YEAR(FebSun1+26)=CalendarYear,MONTH(FebSun1+26)=2),FebSun1+26,""),IF(AND(YEAR(FebSun1+33)=CalendarYear,MONTH(FebSun1+33)=2),FebSun1+33,""))</f>
        <v/>
      </c>
      <c r="AF13" s="9" t="str">
        <f ca="1">IF(DAY(FebSun1)=1,IF(AND(YEAR(FebSun1+27)=CalendarYear,MONTH(FebSun1+27)=2),FebSun1+27,""),IF(AND(YEAR(FebSun1+34)=CalendarYear,MONTH(FebSun1+34)=2),FebSun1+34,""))</f>
        <v/>
      </c>
      <c r="AG13" s="9" t="str">
        <f ca="1">IF(DAY(FebSun1)=1,IF(AND(YEAR(FebSun1+28)=CalendarYear,MONTH(FebSun1+28)=2),FebSun1+28,""),IF(AND(YEAR(FebSun1+35)=CalendarYear,MONTH(FebSun1+35)=2),FebSun1+35,""))</f>
        <v/>
      </c>
      <c r="AH13" s="9" t="str">
        <f ca="1">IF(DAY(FebSun1)=1,IF(AND(YEAR(FebSun1+29)=CalendarYear,MONTH(FebSun1+29)=2),FebSun1+29,""),IF(AND(YEAR(FebSun1+36)=CalendarYear,MONTH(FebSun1+36)=2),FebSun1+36,""))</f>
        <v/>
      </c>
      <c r="AI13" s="11" t="str">
        <f ca="1">IF(DAY(FebSun1)=1,IF(AND(YEAR(FebSun1+30)=CalendarYear,MONTH(FebSun1+30)=2),FebSun1+30,""),IF(AND(YEAR(FebSun1+37)=CalendarYear,MONTH(FebSun1+37)=2),FebSun1+37,""))</f>
        <v/>
      </c>
    </row>
    <row r="14" spans="2:35" s="76" customFormat="1" ht="19.899999999999999" hidden="1" customHeight="1" thickBot="1" x14ac:dyDescent="0.35">
      <c r="B14" s="239"/>
      <c r="C14" s="228"/>
      <c r="D14" s="87" t="s">
        <v>9</v>
      </c>
      <c r="E14" s="80" t="s">
        <v>10</v>
      </c>
      <c r="F14" s="80" t="s">
        <v>11</v>
      </c>
      <c r="G14" s="80" t="s">
        <v>12</v>
      </c>
      <c r="H14" s="299"/>
      <c r="I14" s="299"/>
      <c r="J14" s="299"/>
      <c r="K14" s="310" t="s">
        <v>19</v>
      </c>
      <c r="L14" s="311"/>
      <c r="M14" s="311"/>
      <c r="N14" s="311"/>
      <c r="O14" s="310" t="s">
        <v>20</v>
      </c>
      <c r="P14" s="311"/>
      <c r="Q14" s="311"/>
      <c r="R14" s="311"/>
      <c r="S14" s="79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2"/>
    </row>
    <row r="15" spans="2:35" ht="19.899999999999999" hidden="1" customHeight="1" thickBot="1" x14ac:dyDescent="0.35">
      <c r="B15" s="83" t="s">
        <v>21</v>
      </c>
      <c r="C15" s="92" t="s">
        <v>22</v>
      </c>
      <c r="D15" s="117"/>
      <c r="E15" s="118"/>
      <c r="F15" s="118"/>
      <c r="G15" s="118"/>
      <c r="H15" s="144"/>
      <c r="I15" s="380"/>
      <c r="J15" s="380"/>
      <c r="K15" s="307"/>
      <c r="L15" s="307"/>
      <c r="M15" s="307"/>
      <c r="N15" s="307"/>
      <c r="O15" s="307"/>
      <c r="P15" s="307"/>
      <c r="Q15" s="307"/>
      <c r="R15" s="307"/>
      <c r="S15" s="8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2:35" ht="19.899999999999999" hidden="1" customHeight="1" thickBot="1" x14ac:dyDescent="0.35">
      <c r="B16" s="84" t="s">
        <v>23</v>
      </c>
      <c r="C16" s="91" t="s">
        <v>24</v>
      </c>
      <c r="D16" s="379"/>
      <c r="E16" s="380"/>
      <c r="F16" s="380"/>
      <c r="G16" s="380"/>
      <c r="H16" s="380"/>
      <c r="I16" s="380"/>
      <c r="J16" s="380"/>
      <c r="K16" s="307"/>
      <c r="L16" s="307"/>
      <c r="M16" s="307"/>
      <c r="N16" s="307"/>
      <c r="O16" s="307"/>
      <c r="P16" s="307"/>
      <c r="Q16" s="307"/>
      <c r="R16" s="307"/>
      <c r="S16" s="8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2:35" ht="19.899999999999999" hidden="1" customHeight="1" thickBot="1" x14ac:dyDescent="0.35">
      <c r="B17" s="84" t="s">
        <v>25</v>
      </c>
      <c r="C17" s="91" t="s">
        <v>26</v>
      </c>
      <c r="D17" s="379"/>
      <c r="E17" s="380"/>
      <c r="F17" s="380"/>
      <c r="G17" s="380"/>
      <c r="H17" s="380"/>
      <c r="I17" s="380"/>
      <c r="J17" s="380"/>
      <c r="K17" s="307"/>
      <c r="L17" s="307"/>
      <c r="M17" s="307"/>
      <c r="N17" s="307"/>
      <c r="O17" s="307"/>
      <c r="P17" s="307"/>
      <c r="Q17" s="307"/>
      <c r="R17" s="307"/>
      <c r="S17" s="8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2:35" ht="19.899999999999999" hidden="1" customHeight="1" thickBot="1" x14ac:dyDescent="0.35">
      <c r="B18" s="84" t="s">
        <v>27</v>
      </c>
      <c r="C18" s="91" t="s">
        <v>28</v>
      </c>
      <c r="D18" s="379"/>
      <c r="E18" s="380"/>
      <c r="F18" s="380"/>
      <c r="G18" s="380"/>
      <c r="H18" s="380"/>
      <c r="I18" s="380"/>
      <c r="J18" s="380"/>
      <c r="K18" s="307"/>
      <c r="L18" s="307"/>
      <c r="M18" s="307"/>
      <c r="N18" s="307"/>
      <c r="O18" s="307"/>
      <c r="P18" s="307"/>
      <c r="Q18" s="307"/>
      <c r="R18" s="307"/>
      <c r="S18" s="81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2:35" ht="19.899999999999999" customHeight="1" x14ac:dyDescent="0.3">
      <c r="B19" s="74"/>
      <c r="C19" s="74"/>
    </row>
    <row r="20" spans="2:35" s="75" customFormat="1" ht="19.899999999999999" hidden="1" customHeight="1" x14ac:dyDescent="0.3">
      <c r="B20" s="211">
        <f ca="1">DATE(CalendarYear,4,1)</f>
        <v>46113</v>
      </c>
      <c r="C20" s="77"/>
      <c r="D20" s="213" t="s">
        <v>5</v>
      </c>
      <c r="E20" s="214"/>
      <c r="F20" s="214"/>
      <c r="G20" s="214"/>
      <c r="H20" s="145" t="s">
        <v>6</v>
      </c>
      <c r="I20" s="146"/>
      <c r="J20" s="146"/>
      <c r="K20" s="147"/>
      <c r="L20" s="213" t="s">
        <v>7</v>
      </c>
      <c r="M20" s="214"/>
      <c r="N20" s="214"/>
      <c r="O20" s="215"/>
      <c r="P20" s="213" t="s">
        <v>8</v>
      </c>
      <c r="Q20" s="214"/>
      <c r="R20" s="214"/>
      <c r="S20" s="215"/>
      <c r="T20" s="213" t="s">
        <v>39</v>
      </c>
      <c r="U20" s="214"/>
      <c r="V20" s="214"/>
      <c r="W20" s="215"/>
      <c r="X20" s="9">
        <f ca="1">IF(DAY(AprSun1)=1,IF(AND(YEAR(AprSun1+19)=CalendarYear,MONTH(AprSun1+19)=4),AprSun1+19,""),IF(AND(YEAR(AprSun1+26)=CalendarYear,MONTH(AprSun1+26)=4),AprSun1+26,""))</f>
        <v>46135</v>
      </c>
      <c r="Y20" s="9">
        <f ca="1">IF(DAY(AprSun1)=1,IF(AND(YEAR(AprSun1+20)=CalendarYear,MONTH(AprSun1+20)=4),AprSun1+20,""),IF(AND(YEAR(AprSun1+27)=CalendarYear,MONTH(AprSun1+27)=4),AprSun1+27,""))</f>
        <v>46136</v>
      </c>
      <c r="Z20" s="9">
        <f ca="1">IF(DAY(AprSun1)=1,IF(AND(YEAR(AprSun1+21)=CalendarYear,MONTH(AprSun1+21)=4),AprSun1+21,""),IF(AND(YEAR(AprSun1+28)=CalendarYear,MONTH(AprSun1+28)=4),AprSun1+28,""))</f>
        <v>46137</v>
      </c>
      <c r="AA20" s="9">
        <f ca="1">IF(DAY(AprSun1)=1,IF(AND(YEAR(AprSun1+22)=CalendarYear,MONTH(AprSun1+22)=4),AprSun1+22,""),IF(AND(YEAR(AprSun1+29)=CalendarYear,MONTH(AprSun1+29)=4),AprSun1+29,""))</f>
        <v>46138</v>
      </c>
      <c r="AB20" s="9">
        <f ca="1">IF(DAY(AprSun1)=1,IF(AND(YEAR(AprSun1+23)=CalendarYear,MONTH(AprSun1+23)=4),AprSun1+23,""),IF(AND(YEAR(AprSun1+30)=CalendarYear,MONTH(AprSun1+30)=4),AprSun1+30,""))</f>
        <v>46139</v>
      </c>
      <c r="AC20" s="9">
        <f ca="1">IF(DAY(AprSun1)=1,IF(AND(YEAR(AprSun1+24)=CalendarYear,MONTH(AprSun1+24)=4),AprSun1+24,""),IF(AND(YEAR(AprSun1+31)=CalendarYear,MONTH(AprSun1+31)=4),AprSun1+31,""))</f>
        <v>46140</v>
      </c>
      <c r="AD20" s="9">
        <f ca="1">IF(DAY(AprSun1)=1,IF(AND(YEAR(AprSun1+25)=CalendarYear,MONTH(AprSun1+25)=4),AprSun1+25,""),IF(AND(YEAR(AprSun1+32)=CalendarYear,MONTH(AprSun1+32)=4),AprSun1+32,""))</f>
        <v>46141</v>
      </c>
      <c r="AE20" s="9">
        <f ca="1">IF(DAY(AprSun1)=1,IF(AND(YEAR(AprSun1+26)=CalendarYear,MONTH(AprSun1+26)=4),AprSun1+26,""),IF(AND(YEAR(AprSun1+33)=CalendarYear,MONTH(AprSun1+33)=4),AprSun1+33,""))</f>
        <v>46142</v>
      </c>
      <c r="AF20" s="9" t="str">
        <f ca="1">IF(DAY(AprSun1)=1,IF(AND(YEAR(AprSun1+27)=CalendarYear,MONTH(AprSun1+27)=4),AprSun1+27,""),IF(AND(YEAR(AprSun1+34)=CalendarYear,MONTH(AprSun1+34)=4),AprSun1+34,""))</f>
        <v/>
      </c>
      <c r="AG20" s="9" t="str">
        <f ca="1">IF(DAY(AprSun1)=1,IF(AND(YEAR(AprSun1+28)=CalendarYear,MONTH(AprSun1+28)=4),AprSun1+28,""),IF(AND(YEAR(AprSun1+35)=CalendarYear,MONTH(AprSun1+35)=4),AprSun1+35,""))</f>
        <v/>
      </c>
      <c r="AH20" s="9" t="str">
        <f ca="1">IF(DAY(AprSun1)=1,IF(AND(YEAR(AprSun1+29)=CalendarYear,MONTH(AprSun1+29)=4),AprSun1+29,""),IF(AND(YEAR(AprSun1+36)=CalendarYear,MONTH(AprSun1+36)=4),AprSun1+36,""))</f>
        <v/>
      </c>
      <c r="AI20" s="11" t="str">
        <f ca="1">IF(DAY(AprSun1)=1,IF(AND(YEAR(AprSun1+30)=CalendarYear,MONTH(AprSun1+30)=4),AprSun1+30,""),IF(AND(YEAR(AprSun1+37)=CalendarYear,MONTH(AprSun1+37)=4),AprSun1+37,""))</f>
        <v/>
      </c>
    </row>
    <row r="21" spans="2:35" s="75" customFormat="1" ht="19.899999999999999" hidden="1" customHeight="1" x14ac:dyDescent="0.3">
      <c r="B21" s="212"/>
      <c r="C21" s="78"/>
      <c r="D21" s="318" t="s">
        <v>40</v>
      </c>
      <c r="E21" s="319"/>
      <c r="F21" s="319"/>
      <c r="G21" s="320"/>
      <c r="H21" s="149" t="s">
        <v>41</v>
      </c>
      <c r="I21" s="150"/>
      <c r="J21" s="150"/>
      <c r="K21" s="129"/>
      <c r="L21" s="318" t="s">
        <v>42</v>
      </c>
      <c r="M21" s="319"/>
      <c r="N21" s="319"/>
      <c r="O21" s="321"/>
      <c r="P21" s="318" t="s">
        <v>172</v>
      </c>
      <c r="Q21" s="319"/>
      <c r="R21" s="319"/>
      <c r="S21" s="321"/>
      <c r="T21" s="322" t="s">
        <v>44</v>
      </c>
      <c r="U21" s="226"/>
      <c r="V21" s="226"/>
      <c r="W21" s="323"/>
      <c r="X21" s="10" t="s">
        <v>16</v>
      </c>
      <c r="Y21" s="10" t="s">
        <v>13</v>
      </c>
      <c r="Z21" s="10" t="s">
        <v>14</v>
      </c>
      <c r="AA21" s="10" t="s">
        <v>15</v>
      </c>
      <c r="AB21" s="10" t="s">
        <v>9</v>
      </c>
      <c r="AC21" s="10" t="s">
        <v>10</v>
      </c>
      <c r="AD21" s="10" t="s">
        <v>11</v>
      </c>
      <c r="AE21" s="10" t="s">
        <v>16</v>
      </c>
      <c r="AF21" s="10" t="s">
        <v>13</v>
      </c>
      <c r="AG21" s="10" t="s">
        <v>14</v>
      </c>
      <c r="AH21" s="10" t="s">
        <v>15</v>
      </c>
      <c r="AI21" s="12" t="s">
        <v>9</v>
      </c>
    </row>
    <row r="22" spans="2:35" ht="19.899999999999999" hidden="1" customHeight="1" x14ac:dyDescent="0.3">
      <c r="B22" s="83" t="s">
        <v>21</v>
      </c>
      <c r="C22" s="92" t="s">
        <v>22</v>
      </c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7"/>
      <c r="Q22" s="388"/>
      <c r="R22" s="388"/>
      <c r="S22" s="389"/>
      <c r="T22" s="384"/>
      <c r="U22" s="385"/>
      <c r="V22" s="385"/>
      <c r="W22" s="386"/>
      <c r="X22" s="6" t="str">
        <f t="shared" ref="X22:AI22" ca="1" si="3">IF(OR(NOT(ISNUMBER(X20)),X20&lt;Job1_StartDate),"",IF(MID(Job1_Pattern,MOD(X20-Job1_StartDate,LEN(Job1_Pattern))+1,1)=Job1_Shift1_Code,1,IF(MID(Job1_Pattern,MOD(X20-Job1_StartDate,LEN(Job1_Pattern))+1,1)=Job1_Shift2_Code,2,IF(MID(Job1_Pattern,MOD(X20-Job1_StartDate,LEN(Job1_Pattern))+1,1)=Job1_Shift3_Code,3,""))))</f>
        <v/>
      </c>
      <c r="Y22" s="6" t="str">
        <f t="shared" ca="1" si="3"/>
        <v/>
      </c>
      <c r="Z22" s="6" t="str">
        <f t="shared" ca="1" si="3"/>
        <v/>
      </c>
      <c r="AA22" s="6">
        <f t="shared" ca="1" si="3"/>
        <v>1</v>
      </c>
      <c r="AB22" s="6" t="str">
        <f t="shared" ca="1" si="3"/>
        <v/>
      </c>
      <c r="AC22" s="6" t="str">
        <f t="shared" ca="1" si="3"/>
        <v/>
      </c>
      <c r="AD22" s="6" t="str">
        <f t="shared" ca="1" si="3"/>
        <v/>
      </c>
      <c r="AE22" s="6">
        <f t="shared" ca="1" si="3"/>
        <v>1</v>
      </c>
      <c r="AF22" s="6" t="str">
        <f t="shared" ca="1" si="3"/>
        <v/>
      </c>
      <c r="AG22" s="6" t="str">
        <f t="shared" ca="1" si="3"/>
        <v/>
      </c>
      <c r="AH22" s="6" t="str">
        <f t="shared" ca="1" si="3"/>
        <v/>
      </c>
      <c r="AI22" s="6" t="str">
        <f t="shared" ca="1" si="3"/>
        <v/>
      </c>
    </row>
    <row r="23" spans="2:35" ht="19.899999999999999" hidden="1" customHeight="1" x14ac:dyDescent="0.3">
      <c r="B23" s="84" t="s">
        <v>23</v>
      </c>
      <c r="C23" s="91" t="s">
        <v>24</v>
      </c>
      <c r="D23" s="383"/>
      <c r="E23" s="383"/>
      <c r="F23" s="383"/>
      <c r="G23" s="383"/>
      <c r="H23" s="383">
        <v>100</v>
      </c>
      <c r="I23" s="383"/>
      <c r="J23" s="383"/>
      <c r="K23" s="383"/>
      <c r="L23" s="383">
        <v>100</v>
      </c>
      <c r="M23" s="383"/>
      <c r="N23" s="383"/>
      <c r="O23" s="383"/>
      <c r="P23" s="387"/>
      <c r="Q23" s="388"/>
      <c r="R23" s="388"/>
      <c r="S23" s="389"/>
      <c r="T23" s="384"/>
      <c r="U23" s="385"/>
      <c r="V23" s="385"/>
      <c r="W23" s="386"/>
      <c r="X23" s="7" t="str">
        <f t="shared" ref="X23:AI23" ca="1" si="4">IF(OR(NOT(ISNUMBER(X20)),X20&lt;Job2_StartDate),"",IF(MID(Job2_Pattern,MOD(X20-Job2_StartDate,LEN(Job2_Pattern))+1,1)=Job2_Shift1_Code,1,IF(MID(Job2_Pattern,MOD(X20-Job2_StartDate,LEN(Job2_Pattern))+1,1)=Job2_Shift2_Code,2,IF(MID(Job2_Pattern,MOD(X20-Job2_StartDate,LEN(Job2_Pattern))+1,1)=Job2_Shift3_Code,3,""))))</f>
        <v/>
      </c>
      <c r="Y23" s="7" t="str">
        <f t="shared" ca="1" si="4"/>
        <v/>
      </c>
      <c r="Z23" s="7">
        <f t="shared" ca="1" si="4"/>
        <v>2</v>
      </c>
      <c r="AA23" s="7" t="str">
        <f t="shared" ca="1" si="4"/>
        <v/>
      </c>
      <c r="AB23" s="7" t="str">
        <f t="shared" ca="1" si="4"/>
        <v/>
      </c>
      <c r="AC23" s="7" t="str">
        <f t="shared" ca="1" si="4"/>
        <v/>
      </c>
      <c r="AD23" s="7">
        <f t="shared" ca="1" si="4"/>
        <v>2</v>
      </c>
      <c r="AE23" s="7" t="str">
        <f t="shared" ca="1" si="4"/>
        <v/>
      </c>
      <c r="AF23" s="7" t="str">
        <f t="shared" ca="1" si="4"/>
        <v/>
      </c>
      <c r="AG23" s="7" t="str">
        <f t="shared" ca="1" si="4"/>
        <v/>
      </c>
      <c r="AH23" s="7" t="str">
        <f t="shared" ca="1" si="4"/>
        <v/>
      </c>
      <c r="AI23" s="7" t="str">
        <f t="shared" ca="1" si="4"/>
        <v/>
      </c>
    </row>
    <row r="24" spans="2:35" ht="19.899999999999999" hidden="1" customHeight="1" x14ac:dyDescent="0.3">
      <c r="B24" s="84" t="s">
        <v>25</v>
      </c>
      <c r="C24" s="91" t="s">
        <v>26</v>
      </c>
      <c r="D24" s="383"/>
      <c r="E24" s="383"/>
      <c r="F24" s="383"/>
      <c r="G24" s="383"/>
      <c r="H24" s="383">
        <v>100</v>
      </c>
      <c r="I24" s="383"/>
      <c r="J24" s="383"/>
      <c r="K24" s="383"/>
      <c r="L24" s="383"/>
      <c r="M24" s="383"/>
      <c r="N24" s="383"/>
      <c r="O24" s="383"/>
      <c r="P24" s="387"/>
      <c r="Q24" s="388"/>
      <c r="R24" s="388"/>
      <c r="S24" s="389"/>
      <c r="T24" s="384"/>
      <c r="U24" s="385"/>
      <c r="V24" s="385"/>
      <c r="W24" s="386"/>
      <c r="X24" s="7" t="str">
        <f t="shared" ref="X24:AI24" ca="1" si="5">IF(OR(NOT(ISNUMBER(X20)),X20&lt;Job3_StartDate),"",IF(MID(Job3_Pattern,MOD(X20-Job3_StartDate,LEN(Job3_Pattern))+1,1)=Job3_Shift1_Code,1,IF(MID(Job3_Pattern,MOD(X20-Job3_StartDate,LEN(Job3_Pattern))+1,1)=Job3_Shift2_Code,2,IF(MID(Job3_Pattern,MOD(X20-Job3_StartDate,LEN(Job3_Pattern))+1,1)=Job3_Shift3_Code,3,""))))</f>
        <v/>
      </c>
      <c r="Y24" s="7" t="str">
        <f t="shared" ca="1" si="5"/>
        <v/>
      </c>
      <c r="Z24" s="7" t="str">
        <f t="shared" ca="1" si="5"/>
        <v/>
      </c>
      <c r="AA24" s="7">
        <f t="shared" ca="1" si="5"/>
        <v>3</v>
      </c>
      <c r="AB24" s="7" t="str">
        <f t="shared" ca="1" si="5"/>
        <v/>
      </c>
      <c r="AC24" s="7" t="str">
        <f t="shared" ca="1" si="5"/>
        <v/>
      </c>
      <c r="AD24" s="7" t="str">
        <f t="shared" ca="1" si="5"/>
        <v/>
      </c>
      <c r="AE24" s="7">
        <f t="shared" ca="1" si="5"/>
        <v>3</v>
      </c>
      <c r="AF24" s="7" t="str">
        <f t="shared" ca="1" si="5"/>
        <v/>
      </c>
      <c r="AG24" s="7" t="str">
        <f t="shared" ca="1" si="5"/>
        <v/>
      </c>
      <c r="AH24" s="7" t="str">
        <f t="shared" ca="1" si="5"/>
        <v/>
      </c>
      <c r="AI24" s="7" t="str">
        <f t="shared" ca="1" si="5"/>
        <v/>
      </c>
    </row>
    <row r="25" spans="2:35" ht="19.899999999999999" hidden="1" customHeight="1" x14ac:dyDescent="0.3">
      <c r="B25" s="84" t="s">
        <v>27</v>
      </c>
      <c r="C25" s="91" t="s">
        <v>28</v>
      </c>
      <c r="D25" s="383"/>
      <c r="E25" s="383"/>
      <c r="F25" s="383"/>
      <c r="G25" s="383"/>
      <c r="H25" s="383"/>
      <c r="I25" s="383"/>
      <c r="J25" s="383"/>
      <c r="K25" s="383"/>
      <c r="L25" s="383"/>
      <c r="M25" s="383"/>
      <c r="N25" s="383"/>
      <c r="O25" s="383"/>
      <c r="P25" s="387"/>
      <c r="Q25" s="388"/>
      <c r="R25" s="388"/>
      <c r="S25" s="389"/>
      <c r="T25" s="384"/>
      <c r="U25" s="385"/>
      <c r="V25" s="385"/>
      <c r="W25" s="386"/>
    </row>
    <row r="26" spans="2:35" ht="19.899999999999999" hidden="1" customHeight="1" x14ac:dyDescent="0.3">
      <c r="B26" s="148"/>
      <c r="C26" s="126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spans="2:35" ht="19.899999999999999" customHeight="1" thickBot="1" x14ac:dyDescent="0.35">
      <c r="B27" s="148"/>
      <c r="C27" s="126"/>
      <c r="D27" s="17"/>
      <c r="E27" s="17"/>
      <c r="F27" s="17"/>
      <c r="G27" s="17"/>
    </row>
    <row r="28" spans="2:35" s="75" customFormat="1" ht="19.899999999999999" customHeight="1" x14ac:dyDescent="0.3">
      <c r="B28" s="211">
        <f ca="1">DATE(CalendarYear,5,1)</f>
        <v>46143</v>
      </c>
      <c r="C28" s="77"/>
      <c r="D28" s="213" t="s">
        <v>5</v>
      </c>
      <c r="E28" s="214"/>
      <c r="F28" s="214"/>
      <c r="G28" s="214"/>
      <c r="H28" s="213" t="s">
        <v>6</v>
      </c>
      <c r="I28" s="214"/>
      <c r="J28" s="214"/>
      <c r="K28" s="215"/>
      <c r="L28" s="213" t="s">
        <v>7</v>
      </c>
      <c r="M28" s="214"/>
      <c r="N28" s="214"/>
      <c r="O28" s="215"/>
      <c r="P28" s="213" t="s">
        <v>8</v>
      </c>
      <c r="Q28" s="214"/>
      <c r="R28" s="214"/>
      <c r="S28" s="215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11"/>
    </row>
    <row r="29" spans="2:35" s="75" customFormat="1" ht="19.899999999999999" customHeight="1" x14ac:dyDescent="0.3">
      <c r="B29" s="212"/>
      <c r="C29" s="78"/>
      <c r="D29" s="318" t="s">
        <v>195</v>
      </c>
      <c r="E29" s="319"/>
      <c r="F29" s="319"/>
      <c r="G29" s="320"/>
      <c r="H29" s="318" t="s">
        <v>46</v>
      </c>
      <c r="I29" s="319"/>
      <c r="J29" s="319"/>
      <c r="K29" s="321"/>
      <c r="L29" s="318" t="s">
        <v>47</v>
      </c>
      <c r="M29" s="319"/>
      <c r="N29" s="319"/>
      <c r="O29" s="321"/>
      <c r="P29" s="318" t="s">
        <v>48</v>
      </c>
      <c r="Q29" s="319"/>
      <c r="R29" s="319"/>
      <c r="S29" s="321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2"/>
    </row>
    <row r="30" spans="2:35" ht="19.899999999999999" customHeight="1" x14ac:dyDescent="0.3">
      <c r="B30" s="83" t="s">
        <v>21</v>
      </c>
      <c r="C30" s="101" t="s">
        <v>22</v>
      </c>
      <c r="D30" s="373"/>
      <c r="E30" s="381"/>
      <c r="F30" s="381"/>
      <c r="G30" s="374"/>
      <c r="H30" s="373"/>
      <c r="I30" s="381"/>
      <c r="J30" s="381"/>
      <c r="K30" s="374"/>
      <c r="L30" s="373"/>
      <c r="M30" s="381"/>
      <c r="N30" s="381"/>
      <c r="O30" s="374"/>
      <c r="P30" s="373"/>
      <c r="Q30" s="381"/>
      <c r="R30" s="381"/>
      <c r="S30" s="374"/>
      <c r="T30" s="6" t="str">
        <f t="shared" ref="T30:AI30" ca="1" si="6">IF(OR(NOT(ISNUMBER(T28)),T28&lt;Job1_StartDate),"",IF(MID(Job1_Pattern,MOD(T28-Job1_StartDate,LEN(Job1_Pattern))+1,1)=Job1_Shift1_Code,1,IF(MID(Job1_Pattern,MOD(T28-Job1_StartDate,LEN(Job1_Pattern))+1,1)=Job1_Shift2_Code,2,IF(MID(Job1_Pattern,MOD(T28-Job1_StartDate,LEN(Job1_Pattern))+1,1)=Job1_Shift3_Code,3,""))))</f>
        <v/>
      </c>
      <c r="U30" s="6" t="str">
        <f t="shared" ca="1" si="6"/>
        <v/>
      </c>
      <c r="V30" s="6" t="str">
        <f t="shared" ca="1" si="6"/>
        <v/>
      </c>
      <c r="W30" s="6" t="str">
        <f t="shared" ca="1" si="6"/>
        <v/>
      </c>
      <c r="X30" s="6" t="str">
        <f t="shared" ca="1" si="6"/>
        <v/>
      </c>
      <c r="Y30" s="6" t="str">
        <f t="shared" ca="1" si="6"/>
        <v/>
      </c>
      <c r="Z30" s="6" t="str">
        <f t="shared" ca="1" si="6"/>
        <v/>
      </c>
      <c r="AA30" s="6" t="str">
        <f t="shared" ca="1" si="6"/>
        <v/>
      </c>
      <c r="AB30" s="6" t="str">
        <f t="shared" ca="1" si="6"/>
        <v/>
      </c>
      <c r="AC30" s="6" t="str">
        <f t="shared" ca="1" si="6"/>
        <v/>
      </c>
      <c r="AD30" s="6" t="str">
        <f t="shared" ca="1" si="6"/>
        <v/>
      </c>
      <c r="AE30" s="6" t="str">
        <f t="shared" ca="1" si="6"/>
        <v/>
      </c>
      <c r="AF30" s="6" t="str">
        <f t="shared" ca="1" si="6"/>
        <v/>
      </c>
      <c r="AG30" s="6" t="str">
        <f t="shared" ca="1" si="6"/>
        <v/>
      </c>
      <c r="AH30" s="6" t="str">
        <f t="shared" ca="1" si="6"/>
        <v/>
      </c>
      <c r="AI30" s="6" t="str">
        <f t="shared" ca="1" si="6"/>
        <v/>
      </c>
    </row>
    <row r="31" spans="2:35" ht="19.899999999999999" customHeight="1" x14ac:dyDescent="0.3">
      <c r="B31" s="84" t="s">
        <v>25</v>
      </c>
      <c r="C31" s="102" t="s">
        <v>26</v>
      </c>
      <c r="D31" s="373">
        <v>80</v>
      </c>
      <c r="E31" s="381"/>
      <c r="F31" s="381"/>
      <c r="G31" s="374"/>
      <c r="H31" s="373" t="s">
        <v>49</v>
      </c>
      <c r="I31" s="381"/>
      <c r="J31" s="381"/>
      <c r="K31" s="374"/>
      <c r="L31" s="373" t="s">
        <v>49</v>
      </c>
      <c r="M31" s="381"/>
      <c r="N31" s="381"/>
      <c r="O31" s="374"/>
      <c r="P31" s="373" t="s">
        <v>49</v>
      </c>
      <c r="Q31" s="381"/>
      <c r="R31" s="381"/>
      <c r="S31" s="374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2:35" ht="19.899999999999999" customHeight="1" x14ac:dyDescent="0.3">
      <c r="B32" s="84" t="s">
        <v>136</v>
      </c>
      <c r="C32" s="102" t="s">
        <v>26</v>
      </c>
      <c r="D32" s="373"/>
      <c r="E32" s="381"/>
      <c r="F32" s="381"/>
      <c r="G32" s="374"/>
      <c r="H32" s="373">
        <v>89</v>
      </c>
      <c r="I32" s="381"/>
      <c r="J32" s="381"/>
      <c r="K32" s="374"/>
      <c r="L32" s="373" t="s">
        <v>49</v>
      </c>
      <c r="M32" s="381"/>
      <c r="N32" s="381"/>
      <c r="O32" s="374"/>
      <c r="P32" s="373" t="s">
        <v>49</v>
      </c>
      <c r="Q32" s="381"/>
      <c r="R32" s="381"/>
      <c r="S32" s="374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2:35" ht="19.899999999999999" customHeight="1" x14ac:dyDescent="0.3">
      <c r="B33" s="84" t="s">
        <v>27</v>
      </c>
      <c r="C33" s="102" t="s">
        <v>28</v>
      </c>
      <c r="D33" s="373"/>
      <c r="E33" s="381"/>
      <c r="F33" s="381"/>
      <c r="G33" s="374"/>
      <c r="H33" s="373" t="s">
        <v>49</v>
      </c>
      <c r="I33" s="381"/>
      <c r="J33" s="381"/>
      <c r="K33" s="374"/>
      <c r="L33" s="373" t="s">
        <v>49</v>
      </c>
      <c r="M33" s="381"/>
      <c r="N33" s="381"/>
      <c r="O33" s="374"/>
      <c r="P33" s="373" t="s">
        <v>49</v>
      </c>
      <c r="Q33" s="381"/>
      <c r="R33" s="381"/>
      <c r="S33" s="374"/>
      <c r="T33" s="7" t="str">
        <f t="shared" ref="T33:AI33" ca="1" si="7">IF(OR(NOT(ISNUMBER(T28)),T28&lt;Job2_StartDate),"",IF(MID(Job2_Pattern,MOD(T28-Job2_StartDate,LEN(Job2_Pattern))+1,1)=Job2_Shift1_Code,1,IF(MID(Job2_Pattern,MOD(T28-Job2_StartDate,LEN(Job2_Pattern))+1,1)=Job2_Shift2_Code,2,IF(MID(Job2_Pattern,MOD(T28-Job2_StartDate,LEN(Job2_Pattern))+1,1)=Job2_Shift3_Code,3,""))))</f>
        <v/>
      </c>
      <c r="U33" s="7" t="str">
        <f t="shared" ca="1" si="7"/>
        <v/>
      </c>
      <c r="V33" s="7" t="str">
        <f t="shared" ca="1" si="7"/>
        <v/>
      </c>
      <c r="W33" s="7" t="str">
        <f t="shared" ca="1" si="7"/>
        <v/>
      </c>
      <c r="X33" s="7" t="str">
        <f t="shared" ca="1" si="7"/>
        <v/>
      </c>
      <c r="Y33" s="7" t="str">
        <f t="shared" ca="1" si="7"/>
        <v/>
      </c>
      <c r="Z33" s="7" t="str">
        <f t="shared" ca="1" si="7"/>
        <v/>
      </c>
      <c r="AA33" s="7" t="str">
        <f t="shared" ca="1" si="7"/>
        <v/>
      </c>
      <c r="AB33" s="7" t="str">
        <f t="shared" ca="1" si="7"/>
        <v/>
      </c>
      <c r="AC33" s="7" t="str">
        <f t="shared" ca="1" si="7"/>
        <v/>
      </c>
      <c r="AD33" s="7" t="str">
        <f t="shared" ca="1" si="7"/>
        <v/>
      </c>
      <c r="AE33" s="7" t="str">
        <f t="shared" ca="1" si="7"/>
        <v/>
      </c>
      <c r="AF33" s="7" t="str">
        <f t="shared" ca="1" si="7"/>
        <v/>
      </c>
      <c r="AG33" s="7" t="str">
        <f t="shared" ca="1" si="7"/>
        <v/>
      </c>
      <c r="AH33" s="7" t="str">
        <f t="shared" ca="1" si="7"/>
        <v/>
      </c>
      <c r="AI33" s="7" t="str">
        <f t="shared" ca="1" si="7"/>
        <v/>
      </c>
    </row>
    <row r="34" spans="2:35" ht="19.899999999999999" customHeight="1" x14ac:dyDescent="0.3">
      <c r="B34" s="72" t="s">
        <v>135</v>
      </c>
      <c r="C34" s="84" t="s">
        <v>182</v>
      </c>
      <c r="D34" s="373"/>
      <c r="E34" s="381"/>
      <c r="F34" s="381"/>
      <c r="G34" s="374"/>
      <c r="H34" s="373" t="s">
        <v>49</v>
      </c>
      <c r="I34" s="381"/>
      <c r="J34" s="381"/>
      <c r="K34" s="374"/>
      <c r="L34" s="373" t="s">
        <v>49</v>
      </c>
      <c r="M34" s="381"/>
      <c r="N34" s="381"/>
      <c r="O34" s="374"/>
      <c r="P34" s="373" t="s">
        <v>49</v>
      </c>
      <c r="Q34" s="381"/>
      <c r="R34" s="381"/>
      <c r="S34" s="374"/>
      <c r="T34" s="7" t="str">
        <f t="shared" ref="T34:AI34" ca="1" si="8">IF(OR(NOT(ISNUMBER(T28)),T28&lt;Job3_StartDate),"",IF(MID(Job3_Pattern,MOD(T28-Job3_StartDate,LEN(Job3_Pattern))+1,1)=Job3_Shift1_Code,1,IF(MID(Job3_Pattern,MOD(T28-Job3_StartDate,LEN(Job3_Pattern))+1,1)=Job3_Shift2_Code,2,IF(MID(Job3_Pattern,MOD(T28-Job3_StartDate,LEN(Job3_Pattern))+1,1)=Job3_Shift3_Code,3,""))))</f>
        <v/>
      </c>
      <c r="U34" s="7" t="str">
        <f t="shared" ca="1" si="8"/>
        <v/>
      </c>
      <c r="V34" s="7" t="str">
        <f t="shared" ca="1" si="8"/>
        <v/>
      </c>
      <c r="W34" s="7" t="str">
        <f t="shared" ca="1" si="8"/>
        <v/>
      </c>
      <c r="X34" s="7" t="str">
        <f t="shared" ca="1" si="8"/>
        <v/>
      </c>
      <c r="Y34" s="7" t="str">
        <f t="shared" ca="1" si="8"/>
        <v/>
      </c>
      <c r="Z34" s="7" t="str">
        <f t="shared" ca="1" si="8"/>
        <v/>
      </c>
      <c r="AA34" s="7" t="str">
        <f t="shared" ca="1" si="8"/>
        <v/>
      </c>
      <c r="AB34" s="7" t="str">
        <f t="shared" ca="1" si="8"/>
        <v/>
      </c>
      <c r="AC34" s="7" t="str">
        <f t="shared" ca="1" si="8"/>
        <v/>
      </c>
      <c r="AD34" s="7" t="str">
        <f t="shared" ca="1" si="8"/>
        <v/>
      </c>
      <c r="AE34" s="7" t="str">
        <f t="shared" ca="1" si="8"/>
        <v/>
      </c>
      <c r="AF34" s="7" t="str">
        <f t="shared" ca="1" si="8"/>
        <v/>
      </c>
      <c r="AG34" s="7" t="str">
        <f t="shared" ca="1" si="8"/>
        <v/>
      </c>
      <c r="AH34" s="7" t="str">
        <f t="shared" ca="1" si="8"/>
        <v/>
      </c>
      <c r="AI34" s="7" t="str">
        <f t="shared" ca="1" si="8"/>
        <v/>
      </c>
    </row>
    <row r="35" spans="2:35" ht="19.899999999999999" customHeight="1" thickBot="1" x14ac:dyDescent="0.35">
      <c r="B35" s="74"/>
      <c r="C35" s="74"/>
    </row>
    <row r="36" spans="2:35" s="75" customFormat="1" ht="19.899999999999999" customHeight="1" x14ac:dyDescent="0.3">
      <c r="B36" s="211">
        <f ca="1">DATE(CalendarYear,6,1)</f>
        <v>46174</v>
      </c>
      <c r="C36" s="77"/>
      <c r="D36" s="213" t="s">
        <v>5</v>
      </c>
      <c r="E36" s="214"/>
      <c r="F36" s="214"/>
      <c r="G36" s="214"/>
      <c r="H36" s="330" t="s">
        <v>6</v>
      </c>
      <c r="I36" s="331"/>
      <c r="J36" s="331"/>
      <c r="K36" s="331"/>
      <c r="L36" s="330" t="s">
        <v>7</v>
      </c>
      <c r="M36" s="331"/>
      <c r="N36" s="331"/>
      <c r="O36" s="331"/>
      <c r="P36" s="330" t="s">
        <v>8</v>
      </c>
      <c r="Q36" s="331"/>
      <c r="R36" s="331"/>
      <c r="S36" s="331"/>
      <c r="T36" s="146"/>
      <c r="U36" s="146"/>
      <c r="V36" s="146"/>
      <c r="W36" s="147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11"/>
    </row>
    <row r="37" spans="2:35" s="75" customFormat="1" ht="19.899999999999999" customHeight="1" x14ac:dyDescent="0.3">
      <c r="B37" s="212"/>
      <c r="C37" s="78"/>
      <c r="D37" s="332" t="s">
        <v>52</v>
      </c>
      <c r="E37" s="319"/>
      <c r="F37" s="319"/>
      <c r="G37" s="319"/>
      <c r="H37" s="332" t="s">
        <v>53</v>
      </c>
      <c r="I37" s="319"/>
      <c r="J37" s="319"/>
      <c r="K37" s="319"/>
      <c r="L37" s="332" t="s">
        <v>54</v>
      </c>
      <c r="M37" s="319"/>
      <c r="N37" s="319"/>
      <c r="O37" s="319"/>
      <c r="P37" s="332" t="s">
        <v>55</v>
      </c>
      <c r="Q37" s="319"/>
      <c r="R37" s="319"/>
      <c r="S37" s="319"/>
      <c r="T37" s="164"/>
      <c r="U37" s="164"/>
      <c r="V37" s="164"/>
      <c r="W37" s="165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2"/>
    </row>
    <row r="38" spans="2:35" ht="19.899999999999999" customHeight="1" x14ac:dyDescent="0.3">
      <c r="B38" s="83" t="s">
        <v>21</v>
      </c>
      <c r="C38" s="101" t="s">
        <v>22</v>
      </c>
      <c r="D38" s="373"/>
      <c r="E38" s="381"/>
      <c r="F38" s="381"/>
      <c r="G38" s="374"/>
      <c r="H38" s="373"/>
      <c r="I38" s="381"/>
      <c r="J38" s="381"/>
      <c r="K38" s="374"/>
      <c r="L38" s="373"/>
      <c r="M38" s="381"/>
      <c r="N38" s="381"/>
      <c r="O38" s="374"/>
      <c r="P38" s="373"/>
      <c r="Q38" s="381"/>
      <c r="R38" s="381"/>
      <c r="S38" s="374"/>
      <c r="T38" s="6" t="str">
        <f t="shared" ref="T38:AI38" ca="1" si="9">IF(OR(NOT(ISNUMBER(T36)),T36&lt;Job1_StartDate),"",IF(MID(Job1_Pattern,MOD(T36-Job1_StartDate,LEN(Job1_Pattern))+1,1)=Job1_Shift1_Code,1,IF(MID(Job1_Pattern,MOD(T36-Job1_StartDate,LEN(Job1_Pattern))+1,1)=Job1_Shift2_Code,2,IF(MID(Job1_Pattern,MOD(T36-Job1_StartDate,LEN(Job1_Pattern))+1,1)=Job1_Shift3_Code,3,""))))</f>
        <v/>
      </c>
      <c r="U38" s="6" t="str">
        <f t="shared" ca="1" si="9"/>
        <v/>
      </c>
      <c r="V38" s="6" t="str">
        <f t="shared" ca="1" si="9"/>
        <v/>
      </c>
      <c r="W38" s="6" t="str">
        <f t="shared" ca="1" si="9"/>
        <v/>
      </c>
      <c r="X38" s="6" t="str">
        <f t="shared" ca="1" si="9"/>
        <v/>
      </c>
      <c r="Y38" s="6" t="str">
        <f t="shared" ca="1" si="9"/>
        <v/>
      </c>
      <c r="Z38" s="6" t="str">
        <f t="shared" ca="1" si="9"/>
        <v/>
      </c>
      <c r="AA38" s="6" t="str">
        <f t="shared" ca="1" si="9"/>
        <v/>
      </c>
      <c r="AB38" s="6" t="str">
        <f t="shared" ca="1" si="9"/>
        <v/>
      </c>
      <c r="AC38" s="6" t="str">
        <f t="shared" ca="1" si="9"/>
        <v/>
      </c>
      <c r="AD38" s="6" t="str">
        <f t="shared" ca="1" si="9"/>
        <v/>
      </c>
      <c r="AE38" s="6" t="str">
        <f t="shared" ca="1" si="9"/>
        <v/>
      </c>
      <c r="AF38" s="6" t="str">
        <f t="shared" ca="1" si="9"/>
        <v/>
      </c>
      <c r="AG38" s="6" t="str">
        <f t="shared" ca="1" si="9"/>
        <v/>
      </c>
      <c r="AH38" s="6" t="str">
        <f t="shared" ca="1" si="9"/>
        <v/>
      </c>
      <c r="AI38" s="6" t="str">
        <f t="shared" ca="1" si="9"/>
        <v/>
      </c>
    </row>
    <row r="39" spans="2:35" ht="19.899999999999999" customHeight="1" x14ac:dyDescent="0.3">
      <c r="B39" s="84" t="s">
        <v>25</v>
      </c>
      <c r="C39" s="102" t="s">
        <v>182</v>
      </c>
      <c r="D39" s="373" t="s">
        <v>49</v>
      </c>
      <c r="E39" s="381"/>
      <c r="F39" s="381"/>
      <c r="G39" s="374"/>
      <c r="H39" s="373" t="s">
        <v>49</v>
      </c>
      <c r="I39" s="381"/>
      <c r="J39" s="381"/>
      <c r="K39" s="374"/>
      <c r="L39" s="373"/>
      <c r="M39" s="381"/>
      <c r="N39" s="381"/>
      <c r="O39" s="374"/>
      <c r="P39" s="373"/>
      <c r="Q39" s="381"/>
      <c r="R39" s="381"/>
      <c r="S39" s="374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2:35" ht="19.899999999999999" customHeight="1" x14ac:dyDescent="0.3">
      <c r="B40" s="84" t="s">
        <v>136</v>
      </c>
      <c r="C40" s="102" t="s">
        <v>26</v>
      </c>
      <c r="D40" s="373" t="s">
        <v>49</v>
      </c>
      <c r="E40" s="381"/>
      <c r="F40" s="381"/>
      <c r="G40" s="374"/>
      <c r="H40" s="373" t="s">
        <v>49</v>
      </c>
      <c r="I40" s="381"/>
      <c r="J40" s="381"/>
      <c r="K40" s="374"/>
      <c r="L40" s="373" t="s">
        <v>49</v>
      </c>
      <c r="M40" s="381"/>
      <c r="N40" s="381"/>
      <c r="O40" s="374"/>
      <c r="P40" s="373" t="s">
        <v>49</v>
      </c>
      <c r="Q40" s="381"/>
      <c r="R40" s="381"/>
      <c r="S40" s="374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2:35" ht="19.899999999999999" customHeight="1" x14ac:dyDescent="0.3">
      <c r="B41" s="84" t="s">
        <v>27</v>
      </c>
      <c r="C41" s="102" t="s">
        <v>28</v>
      </c>
      <c r="D41" s="373" t="s">
        <v>49</v>
      </c>
      <c r="E41" s="381"/>
      <c r="F41" s="381"/>
      <c r="G41" s="374"/>
      <c r="H41" s="373" t="s">
        <v>49</v>
      </c>
      <c r="I41" s="381"/>
      <c r="J41" s="381"/>
      <c r="K41" s="374"/>
      <c r="L41" s="373" t="s">
        <v>49</v>
      </c>
      <c r="M41" s="381"/>
      <c r="N41" s="381"/>
      <c r="O41" s="374"/>
      <c r="P41" s="373"/>
      <c r="Q41" s="381"/>
      <c r="R41" s="381"/>
      <c r="S41" s="374"/>
      <c r="T41" s="7" t="str">
        <f t="shared" ref="T41:AI41" ca="1" si="10">IF(OR(NOT(ISNUMBER(T36)),T36&lt;Job2_StartDate),"",IF(MID(Job2_Pattern,MOD(T36-Job2_StartDate,LEN(Job2_Pattern))+1,1)=Job2_Shift1_Code,1,IF(MID(Job2_Pattern,MOD(T36-Job2_StartDate,LEN(Job2_Pattern))+1,1)=Job2_Shift2_Code,2,IF(MID(Job2_Pattern,MOD(T36-Job2_StartDate,LEN(Job2_Pattern))+1,1)=Job2_Shift3_Code,3,""))))</f>
        <v/>
      </c>
      <c r="U41" s="7" t="str">
        <f t="shared" ca="1" si="10"/>
        <v/>
      </c>
      <c r="V41" s="7" t="str">
        <f t="shared" ca="1" si="10"/>
        <v/>
      </c>
      <c r="W41" s="7" t="str">
        <f t="shared" ca="1" si="10"/>
        <v/>
      </c>
      <c r="X41" s="7" t="str">
        <f t="shared" ca="1" si="10"/>
        <v/>
      </c>
      <c r="Y41" s="7" t="str">
        <f t="shared" ca="1" si="10"/>
        <v/>
      </c>
      <c r="Z41" s="7" t="str">
        <f t="shared" ca="1" si="10"/>
        <v/>
      </c>
      <c r="AA41" s="7" t="str">
        <f t="shared" ca="1" si="10"/>
        <v/>
      </c>
      <c r="AB41" s="7" t="str">
        <f t="shared" ca="1" si="10"/>
        <v/>
      </c>
      <c r="AC41" s="7" t="str">
        <f t="shared" ca="1" si="10"/>
        <v/>
      </c>
      <c r="AD41" s="7" t="str">
        <f t="shared" ca="1" si="10"/>
        <v/>
      </c>
      <c r="AE41" s="7" t="str">
        <f t="shared" ca="1" si="10"/>
        <v/>
      </c>
      <c r="AF41" s="7" t="str">
        <f t="shared" ca="1" si="10"/>
        <v/>
      </c>
      <c r="AG41" s="7" t="str">
        <f t="shared" ca="1" si="10"/>
        <v/>
      </c>
      <c r="AH41" s="7" t="str">
        <f t="shared" ca="1" si="10"/>
        <v/>
      </c>
      <c r="AI41" s="7" t="str">
        <f t="shared" ca="1" si="10"/>
        <v/>
      </c>
    </row>
    <row r="42" spans="2:35" ht="19.899999999999999" customHeight="1" x14ac:dyDescent="0.3">
      <c r="B42" s="72" t="s">
        <v>135</v>
      </c>
      <c r="C42" s="84" t="s">
        <v>24</v>
      </c>
      <c r="D42" s="373" t="s">
        <v>49</v>
      </c>
      <c r="E42" s="381"/>
      <c r="F42" s="381"/>
      <c r="G42" s="374"/>
      <c r="H42" s="373" t="s">
        <v>49</v>
      </c>
      <c r="I42" s="381"/>
      <c r="J42" s="381"/>
      <c r="K42" s="374"/>
      <c r="L42" s="373" t="s">
        <v>62</v>
      </c>
      <c r="M42" s="381"/>
      <c r="N42" s="381"/>
      <c r="O42" s="374"/>
      <c r="P42" s="373" t="s">
        <v>49</v>
      </c>
      <c r="Q42" s="381"/>
      <c r="R42" s="381"/>
      <c r="S42" s="374"/>
      <c r="T42" s="7" t="str">
        <f t="shared" ref="T42:AI42" ca="1" si="11">IF(OR(NOT(ISNUMBER(T36)),T36&lt;Job3_StartDate),"",IF(MID(Job3_Pattern,MOD(T36-Job3_StartDate,LEN(Job3_Pattern))+1,1)=Job3_Shift1_Code,1,IF(MID(Job3_Pattern,MOD(T36-Job3_StartDate,LEN(Job3_Pattern))+1,1)=Job3_Shift2_Code,2,IF(MID(Job3_Pattern,MOD(T36-Job3_StartDate,LEN(Job3_Pattern))+1,1)=Job3_Shift3_Code,3,""))))</f>
        <v/>
      </c>
      <c r="U42" s="7" t="str">
        <f t="shared" ca="1" si="11"/>
        <v/>
      </c>
      <c r="V42" s="7" t="str">
        <f t="shared" ca="1" si="11"/>
        <v/>
      </c>
      <c r="W42" s="7" t="str">
        <f t="shared" ca="1" si="11"/>
        <v/>
      </c>
      <c r="X42" s="7" t="str">
        <f t="shared" ca="1" si="11"/>
        <v/>
      </c>
      <c r="Y42" s="7" t="str">
        <f t="shared" ca="1" si="11"/>
        <v/>
      </c>
      <c r="Z42" s="7" t="str">
        <f t="shared" ca="1" si="11"/>
        <v/>
      </c>
      <c r="AA42" s="7" t="str">
        <f t="shared" ca="1" si="11"/>
        <v/>
      </c>
      <c r="AB42" s="7" t="str">
        <f t="shared" ca="1" si="11"/>
        <v/>
      </c>
      <c r="AC42" s="7" t="str">
        <f t="shared" ca="1" si="11"/>
        <v/>
      </c>
      <c r="AD42" s="7" t="str">
        <f t="shared" ca="1" si="11"/>
        <v/>
      </c>
      <c r="AE42" s="7" t="str">
        <f t="shared" ca="1" si="11"/>
        <v/>
      </c>
      <c r="AF42" s="7" t="str">
        <f t="shared" ca="1" si="11"/>
        <v/>
      </c>
      <c r="AG42" s="7" t="str">
        <f t="shared" ca="1" si="11"/>
        <v/>
      </c>
      <c r="AH42" s="7" t="str">
        <f t="shared" ca="1" si="11"/>
        <v/>
      </c>
      <c r="AI42" s="7" t="str">
        <f t="shared" ca="1" si="11"/>
        <v/>
      </c>
    </row>
    <row r="43" spans="2:35" ht="19.899999999999999" customHeight="1" x14ac:dyDescent="0.3">
      <c r="B43" s="71"/>
      <c r="C43" s="71"/>
      <c r="D43" s="6" t="str">
        <f t="shared" ref="D43:AI43" ca="1" si="12">IF(OR(NOT(ISNUMBER(D36)),D36&lt;Job1_StartDate),"",IF(MID(Job1_Pattern,MOD(D36-Job1_StartDate,LEN(Job1_Pattern))+1,1)=Job1_Shift1_Code,1,IF(MID(Job1_Pattern,MOD(D36-Job1_StartDate,LEN(Job1_Pattern))+1,1)=Job1_Shift2_Code,2,IF(MID(Job1_Pattern,MOD(D36-Job1_StartDate,LEN(Job1_Pattern))+1,1)=Job1_Shift3_Code,3,""))))</f>
        <v/>
      </c>
      <c r="E43" s="6" t="str">
        <f t="shared" ca="1" si="12"/>
        <v/>
      </c>
      <c r="F43" s="6" t="str">
        <f t="shared" ca="1" si="12"/>
        <v/>
      </c>
      <c r="G43" s="6" t="str">
        <f t="shared" ca="1" si="12"/>
        <v/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 t="str">
        <f t="shared" ca="1" si="12"/>
        <v/>
      </c>
      <c r="Z43" s="6" t="str">
        <f t="shared" ca="1" si="12"/>
        <v/>
      </c>
      <c r="AA43" s="6" t="str">
        <f t="shared" ca="1" si="12"/>
        <v/>
      </c>
      <c r="AB43" s="6" t="str">
        <f t="shared" ca="1" si="12"/>
        <v/>
      </c>
      <c r="AC43" s="6" t="str">
        <f t="shared" ca="1" si="12"/>
        <v/>
      </c>
      <c r="AD43" s="6" t="str">
        <f t="shared" ca="1" si="12"/>
        <v/>
      </c>
      <c r="AE43" s="6" t="str">
        <f t="shared" ca="1" si="12"/>
        <v/>
      </c>
      <c r="AF43" s="6" t="str">
        <f t="shared" ca="1" si="12"/>
        <v/>
      </c>
      <c r="AG43" s="6" t="str">
        <f t="shared" ca="1" si="12"/>
        <v/>
      </c>
      <c r="AH43" s="6" t="str">
        <f t="shared" ca="1" si="12"/>
        <v/>
      </c>
      <c r="AI43" s="6" t="str">
        <f t="shared" ca="1" si="12"/>
        <v/>
      </c>
    </row>
    <row r="44" spans="2:35" ht="19.899999999999999" customHeight="1" thickBot="1" x14ac:dyDescent="0.35">
      <c r="B44" s="74"/>
      <c r="C44" s="74"/>
    </row>
    <row r="45" spans="2:35" s="75" customFormat="1" ht="19.899999999999999" customHeight="1" x14ac:dyDescent="0.3">
      <c r="B45" s="211">
        <v>46204</v>
      </c>
      <c r="C45" s="77"/>
      <c r="D45" s="213" t="s">
        <v>5</v>
      </c>
      <c r="E45" s="214"/>
      <c r="F45" s="214"/>
      <c r="G45" s="215"/>
      <c r="H45" s="330" t="s">
        <v>6</v>
      </c>
      <c r="I45" s="331"/>
      <c r="J45" s="331"/>
      <c r="K45" s="382"/>
      <c r="L45" s="330" t="s">
        <v>7</v>
      </c>
      <c r="M45" s="331"/>
      <c r="N45" s="331"/>
      <c r="O45" s="382"/>
      <c r="P45" s="330" t="s">
        <v>8</v>
      </c>
      <c r="Q45" s="331"/>
      <c r="R45" s="331"/>
      <c r="S45" s="331"/>
      <c r="T45" s="214" t="s">
        <v>39</v>
      </c>
      <c r="U45" s="214"/>
      <c r="V45" s="214"/>
      <c r="W45" s="215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11"/>
    </row>
    <row r="46" spans="2:35" s="75" customFormat="1" ht="19.899999999999999" customHeight="1" x14ac:dyDescent="0.3">
      <c r="B46" s="212"/>
      <c r="C46" s="78"/>
      <c r="D46" s="332" t="s">
        <v>67</v>
      </c>
      <c r="E46" s="319"/>
      <c r="F46" s="319"/>
      <c r="G46" s="319"/>
      <c r="H46" s="332" t="s">
        <v>68</v>
      </c>
      <c r="I46" s="319"/>
      <c r="J46" s="319"/>
      <c r="K46" s="319"/>
      <c r="L46" s="332" t="s">
        <v>69</v>
      </c>
      <c r="M46" s="319"/>
      <c r="N46" s="319"/>
      <c r="O46" s="319"/>
      <c r="P46" s="332" t="s">
        <v>70</v>
      </c>
      <c r="Q46" s="319"/>
      <c r="R46" s="319"/>
      <c r="S46" s="319"/>
      <c r="T46" s="332" t="s">
        <v>71</v>
      </c>
      <c r="U46" s="319"/>
      <c r="V46" s="319"/>
      <c r="W46" s="319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2"/>
    </row>
    <row r="47" spans="2:35" ht="19.899999999999999" customHeight="1" x14ac:dyDescent="0.3">
      <c r="B47" s="83" t="s">
        <v>21</v>
      </c>
      <c r="C47" s="191" t="s">
        <v>22</v>
      </c>
      <c r="D47" s="373"/>
      <c r="E47" s="381"/>
      <c r="F47" s="381"/>
      <c r="G47" s="374"/>
      <c r="H47" s="373" t="s">
        <v>49</v>
      </c>
      <c r="I47" s="381"/>
      <c r="J47" s="381"/>
      <c r="K47" s="374"/>
      <c r="L47" s="373"/>
      <c r="M47" s="381"/>
      <c r="N47" s="381"/>
      <c r="O47" s="374"/>
      <c r="P47" s="373"/>
      <c r="Q47" s="381"/>
      <c r="R47" s="381"/>
      <c r="S47" s="374"/>
      <c r="T47" s="373"/>
      <c r="U47" s="381"/>
      <c r="V47" s="381"/>
      <c r="W47" s="374"/>
      <c r="X47" s="6" t="str">
        <f t="shared" ref="X47:AI47" ca="1" si="13">IF(OR(NOT(ISNUMBER(X45)),X45&lt;Job1_StartDate),"",IF(MID(Job1_Pattern,MOD(X45-Job1_StartDate,LEN(Job1_Pattern))+1,1)=Job1_Shift1_Code,1,IF(MID(Job1_Pattern,MOD(X45-Job1_StartDate,LEN(Job1_Pattern))+1,1)=Job1_Shift2_Code,2,IF(MID(Job1_Pattern,MOD(X45-Job1_StartDate,LEN(Job1_Pattern))+1,1)=Job1_Shift3_Code,3,""))))</f>
        <v/>
      </c>
      <c r="Y47" s="6" t="str">
        <f t="shared" ca="1" si="13"/>
        <v/>
      </c>
      <c r="Z47" s="6" t="str">
        <f t="shared" ca="1" si="13"/>
        <v/>
      </c>
      <c r="AA47" s="6" t="str">
        <f t="shared" ca="1" si="13"/>
        <v/>
      </c>
      <c r="AB47" s="6" t="str">
        <f t="shared" ca="1" si="13"/>
        <v/>
      </c>
      <c r="AC47" s="6" t="str">
        <f t="shared" ca="1" si="13"/>
        <v/>
      </c>
      <c r="AD47" s="6" t="str">
        <f t="shared" ca="1" si="13"/>
        <v/>
      </c>
      <c r="AE47" s="6" t="str">
        <f t="shared" ca="1" si="13"/>
        <v/>
      </c>
      <c r="AF47" s="6" t="str">
        <f t="shared" ca="1" si="13"/>
        <v/>
      </c>
      <c r="AG47" s="6" t="str">
        <f t="shared" ca="1" si="13"/>
        <v/>
      </c>
      <c r="AH47" s="6" t="str">
        <f t="shared" ca="1" si="13"/>
        <v/>
      </c>
      <c r="AI47" s="6" t="str">
        <f t="shared" ca="1" si="13"/>
        <v/>
      </c>
    </row>
    <row r="48" spans="2:35" ht="19.899999999999999" customHeight="1" x14ac:dyDescent="0.3">
      <c r="B48" s="84" t="s">
        <v>136</v>
      </c>
      <c r="C48" s="192" t="s">
        <v>26</v>
      </c>
      <c r="D48" s="373" t="s">
        <v>49</v>
      </c>
      <c r="E48" s="381"/>
      <c r="F48" s="381"/>
      <c r="G48" s="374"/>
      <c r="H48" s="373" t="s">
        <v>49</v>
      </c>
      <c r="I48" s="381"/>
      <c r="J48" s="381"/>
      <c r="K48" s="374"/>
      <c r="L48" s="373"/>
      <c r="M48" s="381"/>
      <c r="N48" s="381"/>
      <c r="O48" s="374"/>
      <c r="P48" s="373"/>
      <c r="Q48" s="381"/>
      <c r="R48" s="381"/>
      <c r="S48" s="374"/>
      <c r="T48" s="373"/>
      <c r="U48" s="381"/>
      <c r="V48" s="381"/>
      <c r="W48" s="374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2:35" ht="19.899999999999999" customHeight="1" x14ac:dyDescent="0.3">
      <c r="B49" s="84" t="s">
        <v>27</v>
      </c>
      <c r="C49" s="192" t="s">
        <v>28</v>
      </c>
      <c r="D49" s="373" t="s">
        <v>49</v>
      </c>
      <c r="E49" s="381"/>
      <c r="F49" s="381"/>
      <c r="G49" s="374"/>
      <c r="H49" s="373"/>
      <c r="I49" s="381"/>
      <c r="J49" s="381"/>
      <c r="K49" s="374"/>
      <c r="L49" s="373" t="s">
        <v>49</v>
      </c>
      <c r="M49" s="381"/>
      <c r="N49" s="381"/>
      <c r="O49" s="374"/>
      <c r="P49" s="373"/>
      <c r="Q49" s="381"/>
      <c r="R49" s="381"/>
      <c r="S49" s="374"/>
      <c r="T49" s="373"/>
      <c r="U49" s="381"/>
      <c r="V49" s="381"/>
      <c r="W49" s="374"/>
      <c r="X49" s="7" t="str">
        <f t="shared" ref="X49:AI49" ca="1" si="14">IF(OR(NOT(ISNUMBER(X45)),X45&lt;Job2_StartDate),"",IF(MID(Job2_Pattern,MOD(X45-Job2_StartDate,LEN(Job2_Pattern))+1,1)=Job2_Shift1_Code,1,IF(MID(Job2_Pattern,MOD(X45-Job2_StartDate,LEN(Job2_Pattern))+1,1)=Job2_Shift2_Code,2,IF(MID(Job2_Pattern,MOD(X45-Job2_StartDate,LEN(Job2_Pattern))+1,1)=Job2_Shift3_Code,3,""))))</f>
        <v/>
      </c>
      <c r="Y49" s="7" t="str">
        <f t="shared" ca="1" si="14"/>
        <v/>
      </c>
      <c r="Z49" s="7" t="str">
        <f t="shared" ca="1" si="14"/>
        <v/>
      </c>
      <c r="AA49" s="7" t="str">
        <f t="shared" ca="1" si="14"/>
        <v/>
      </c>
      <c r="AB49" s="7" t="str">
        <f t="shared" ca="1" si="14"/>
        <v/>
      </c>
      <c r="AC49" s="7" t="str">
        <f t="shared" ca="1" si="14"/>
        <v/>
      </c>
      <c r="AD49" s="7" t="str">
        <f t="shared" ca="1" si="14"/>
        <v/>
      </c>
      <c r="AE49" s="7" t="str">
        <f t="shared" ca="1" si="14"/>
        <v/>
      </c>
      <c r="AF49" s="7" t="str">
        <f t="shared" ca="1" si="14"/>
        <v/>
      </c>
      <c r="AG49" s="7" t="str">
        <f t="shared" ca="1" si="14"/>
        <v/>
      </c>
      <c r="AH49" s="7" t="str">
        <f t="shared" ca="1" si="14"/>
        <v/>
      </c>
      <c r="AI49" s="7" t="str">
        <f t="shared" ca="1" si="14"/>
        <v/>
      </c>
    </row>
    <row r="50" spans="2:35" ht="19.899999999999999" customHeight="1" x14ac:dyDescent="0.3">
      <c r="B50" s="72" t="s">
        <v>135</v>
      </c>
      <c r="C50" s="84" t="s">
        <v>24</v>
      </c>
      <c r="D50" s="373" t="s">
        <v>49</v>
      </c>
      <c r="E50" s="381"/>
      <c r="F50" s="381"/>
      <c r="G50" s="374"/>
      <c r="H50" s="373" t="s">
        <v>49</v>
      </c>
      <c r="I50" s="381"/>
      <c r="J50" s="381"/>
      <c r="K50" s="374"/>
      <c r="L50" s="373" t="s">
        <v>49</v>
      </c>
      <c r="M50" s="381"/>
      <c r="N50" s="381"/>
      <c r="O50" s="374"/>
      <c r="P50" s="373"/>
      <c r="Q50" s="381"/>
      <c r="R50" s="381"/>
      <c r="S50" s="374"/>
      <c r="T50" s="373"/>
      <c r="U50" s="381"/>
      <c r="V50" s="381"/>
      <c r="W50" s="374"/>
      <c r="X50" s="7" t="str">
        <f t="shared" ref="X50:AI50" ca="1" si="15">IF(OR(NOT(ISNUMBER(X45)),X45&lt;Job3_StartDate),"",IF(MID(Job3_Pattern,MOD(X45-Job3_StartDate,LEN(Job3_Pattern))+1,1)=Job3_Shift1_Code,1,IF(MID(Job3_Pattern,MOD(X45-Job3_StartDate,LEN(Job3_Pattern))+1,1)=Job3_Shift2_Code,2,IF(MID(Job3_Pattern,MOD(X45-Job3_StartDate,LEN(Job3_Pattern))+1,1)=Job3_Shift3_Code,3,""))))</f>
        <v/>
      </c>
      <c r="Y50" s="7" t="str">
        <f t="shared" ca="1" si="15"/>
        <v/>
      </c>
      <c r="Z50" s="7" t="str">
        <f t="shared" ca="1" si="15"/>
        <v/>
      </c>
      <c r="AA50" s="7" t="str">
        <f t="shared" ca="1" si="15"/>
        <v/>
      </c>
      <c r="AB50" s="7" t="str">
        <f t="shared" ca="1" si="15"/>
        <v/>
      </c>
      <c r="AC50" s="7" t="str">
        <f t="shared" ca="1" si="15"/>
        <v/>
      </c>
      <c r="AD50" s="7" t="str">
        <f t="shared" ca="1" si="15"/>
        <v/>
      </c>
      <c r="AE50" s="7" t="str">
        <f t="shared" ca="1" si="15"/>
        <v/>
      </c>
      <c r="AF50" s="7" t="str">
        <f t="shared" ca="1" si="15"/>
        <v/>
      </c>
      <c r="AG50" s="7" t="str">
        <f t="shared" ca="1" si="15"/>
        <v/>
      </c>
      <c r="AH50" s="7" t="str">
        <f t="shared" ca="1" si="15"/>
        <v/>
      </c>
      <c r="AI50" s="7" t="str">
        <f t="shared" ca="1" si="15"/>
        <v/>
      </c>
    </row>
    <row r="51" spans="2:35" ht="19.899999999999999" customHeight="1" x14ac:dyDescent="0.3">
      <c r="B51" s="71"/>
      <c r="C51" s="71"/>
      <c r="D51" s="6" t="str">
        <f ca="1">IF(OR(NOT(ISNUMBER(D45)),D45&lt;Job1_StartDate),"",IF(MID(Job1_Pattern,MOD(D45-Job1_StartDate,LEN(Job1_Pattern))+1,1)=Job1_Shift1_Code,1,IF(MID(Job1_Pattern,MOD(D45-Job1_StartDate,LEN(Job1_Pattern))+1,1)=Job1_Shift2_Code,2,IF(MID(Job1_Pattern,MOD(D45-Job1_StartDate,LEN(Job1_Pattern))+1,1)=Job1_Shift3_Code,3,""))))</f>
        <v/>
      </c>
      <c r="E51" s="6" t="str">
        <f ca="1">IF(OR(NOT(ISNUMBER(E45)),E45&lt;Job1_StartDate),"",IF(MID(Job1_Pattern,MOD(E45-Job1_StartDate,LEN(Job1_Pattern))+1,1)=Job1_Shift1_Code,1,IF(MID(Job1_Pattern,MOD(E45-Job1_StartDate,LEN(Job1_Pattern))+1,1)=Job1_Shift2_Code,2,IF(MID(Job1_Pattern,MOD(E45-Job1_StartDate,LEN(Job1_Pattern))+1,1)=Job1_Shift3_Code,3,""))))</f>
        <v/>
      </c>
      <c r="F51" s="6" t="str">
        <f ca="1">IF(OR(NOT(ISNUMBER(F45)),F45&lt;Job1_StartDate),"",IF(MID(Job1_Pattern,MOD(F45-Job1_StartDate,LEN(Job1_Pattern))+1,1)=Job1_Shift1_Code,1,IF(MID(Job1_Pattern,MOD(F45-Job1_StartDate,LEN(Job1_Pattern))+1,1)=Job1_Shift2_Code,2,IF(MID(Job1_Pattern,MOD(F45-Job1_StartDate,LEN(Job1_Pattern))+1,1)=Job1_Shift3_Code,3,""))))</f>
        <v/>
      </c>
      <c r="G51" s="6" t="str">
        <f ca="1">IF(OR(NOT(ISNUMBER(G45)),G45&lt;Job1_StartDate),"",IF(MID(Job1_Pattern,MOD(G45-Job1_StartDate,LEN(Job1_Pattern))+1,1)=Job1_Shift1_Code,1,IF(MID(Job1_Pattern,MOD(G45-Job1_StartDate,LEN(Job1_Pattern))+1,1)=Job1_Shift2_Code,2,IF(MID(Job1_Pattern,MOD(G45-Job1_StartDate,LEN(Job1_Pattern))+1,1)=Job1_Shift3_Code,3,""))))</f>
        <v/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 t="str">
        <f t="shared" ref="Y51:AI51" ca="1" si="16">IF(OR(NOT(ISNUMBER(Y45)),Y45&lt;Job1_StartDate),"",IF(MID(Job1_Pattern,MOD(Y45-Job1_StartDate,LEN(Job1_Pattern))+1,1)=Job1_Shift1_Code,1,IF(MID(Job1_Pattern,MOD(Y45-Job1_StartDate,LEN(Job1_Pattern))+1,1)=Job1_Shift2_Code,2,IF(MID(Job1_Pattern,MOD(Y45-Job1_StartDate,LEN(Job1_Pattern))+1,1)=Job1_Shift3_Code,3,""))))</f>
        <v/>
      </c>
      <c r="Z51" s="6" t="str">
        <f t="shared" ca="1" si="16"/>
        <v/>
      </c>
      <c r="AA51" s="6" t="str">
        <f t="shared" ca="1" si="16"/>
        <v/>
      </c>
      <c r="AB51" s="6" t="str">
        <f t="shared" ca="1" si="16"/>
        <v/>
      </c>
      <c r="AC51" s="6" t="str">
        <f t="shared" ca="1" si="16"/>
        <v/>
      </c>
      <c r="AD51" s="6" t="str">
        <f t="shared" ca="1" si="16"/>
        <v/>
      </c>
      <c r="AE51" s="6" t="str">
        <f t="shared" ca="1" si="16"/>
        <v/>
      </c>
      <c r="AF51" s="6" t="str">
        <f t="shared" ca="1" si="16"/>
        <v/>
      </c>
      <c r="AG51" s="6" t="str">
        <f t="shared" ca="1" si="16"/>
        <v/>
      </c>
      <c r="AH51" s="6" t="str">
        <f t="shared" ca="1" si="16"/>
        <v/>
      </c>
      <c r="AI51" s="6" t="str">
        <f t="shared" ca="1" si="16"/>
        <v/>
      </c>
    </row>
    <row r="52" spans="2:35" ht="19.899999999999999" customHeight="1" thickBot="1" x14ac:dyDescent="0.35">
      <c r="B52" s="74"/>
      <c r="C52" s="74"/>
    </row>
    <row r="53" spans="2:35" ht="18.95" customHeight="1" x14ac:dyDescent="0.3">
      <c r="B53" s="211">
        <v>46204</v>
      </c>
      <c r="C53" s="77"/>
      <c r="D53" s="213" t="s">
        <v>5</v>
      </c>
      <c r="E53" s="214"/>
      <c r="F53" s="214"/>
      <c r="G53" s="215"/>
      <c r="H53" s="330" t="s">
        <v>6</v>
      </c>
      <c r="I53" s="331"/>
      <c r="J53" s="331"/>
      <c r="K53" s="382"/>
      <c r="L53" s="330" t="s">
        <v>7</v>
      </c>
      <c r="M53" s="331"/>
      <c r="N53" s="331"/>
      <c r="O53" s="382"/>
      <c r="P53" s="330" t="s">
        <v>8</v>
      </c>
      <c r="Q53" s="331"/>
      <c r="R53" s="331"/>
      <c r="S53" s="331"/>
      <c r="T53" s="214" t="s">
        <v>39</v>
      </c>
      <c r="U53" s="214"/>
      <c r="V53" s="214"/>
      <c r="W53" s="215"/>
    </row>
    <row r="54" spans="2:35" ht="18.95" customHeight="1" x14ac:dyDescent="0.3">
      <c r="B54" s="212"/>
      <c r="C54" s="78"/>
      <c r="D54" s="332" t="s">
        <v>67</v>
      </c>
      <c r="E54" s="319"/>
      <c r="F54" s="319"/>
      <c r="G54" s="319"/>
      <c r="H54" s="332" t="s">
        <v>68</v>
      </c>
      <c r="I54" s="319"/>
      <c r="J54" s="319"/>
      <c r="K54" s="319"/>
      <c r="L54" s="332" t="s">
        <v>69</v>
      </c>
      <c r="M54" s="319"/>
      <c r="N54" s="319"/>
      <c r="O54" s="319"/>
      <c r="P54" s="332" t="s">
        <v>70</v>
      </c>
      <c r="Q54" s="319"/>
      <c r="R54" s="319"/>
      <c r="S54" s="319"/>
      <c r="T54" s="332" t="s">
        <v>71</v>
      </c>
      <c r="U54" s="319"/>
      <c r="V54" s="319"/>
      <c r="W54" s="319"/>
    </row>
    <row r="55" spans="2:35" ht="18.95" customHeight="1" x14ac:dyDescent="0.3">
      <c r="B55" s="83" t="s">
        <v>21</v>
      </c>
      <c r="C55" s="101" t="s">
        <v>22</v>
      </c>
      <c r="D55" s="373"/>
      <c r="E55" s="381"/>
      <c r="F55" s="381"/>
      <c r="G55" s="374"/>
      <c r="H55" s="373"/>
      <c r="I55" s="381"/>
      <c r="J55" s="381"/>
      <c r="K55" s="374"/>
      <c r="L55" s="373"/>
      <c r="M55" s="381"/>
      <c r="N55" s="381"/>
      <c r="O55" s="374"/>
      <c r="P55" s="373"/>
      <c r="Q55" s="381"/>
      <c r="R55" s="381"/>
      <c r="S55" s="374"/>
      <c r="T55" s="373"/>
      <c r="U55" s="381"/>
      <c r="V55" s="381"/>
      <c r="W55" s="374"/>
    </row>
    <row r="56" spans="2:35" ht="18.95" customHeight="1" x14ac:dyDescent="0.3">
      <c r="B56" s="84" t="s">
        <v>25</v>
      </c>
      <c r="C56" s="102" t="s">
        <v>26</v>
      </c>
      <c r="D56" s="373"/>
      <c r="E56" s="381"/>
      <c r="F56" s="381"/>
      <c r="G56" s="374"/>
      <c r="H56" s="373"/>
      <c r="I56" s="381"/>
      <c r="J56" s="381"/>
      <c r="K56" s="374"/>
      <c r="L56" s="373"/>
      <c r="M56" s="381"/>
      <c r="N56" s="381"/>
      <c r="O56" s="374"/>
      <c r="P56" s="373"/>
      <c r="Q56" s="381"/>
      <c r="R56" s="381"/>
      <c r="S56" s="374"/>
      <c r="T56" s="373"/>
      <c r="U56" s="381"/>
      <c r="V56" s="381"/>
      <c r="W56" s="374"/>
    </row>
    <row r="57" spans="2:35" ht="18.95" customHeight="1" x14ac:dyDescent="0.3">
      <c r="B57" s="84" t="s">
        <v>27</v>
      </c>
      <c r="C57" s="102" t="s">
        <v>28</v>
      </c>
      <c r="D57" s="373"/>
      <c r="E57" s="381"/>
      <c r="F57" s="381"/>
      <c r="G57" s="374"/>
      <c r="H57" s="373"/>
      <c r="I57" s="381"/>
      <c r="J57" s="381"/>
      <c r="K57" s="374"/>
      <c r="L57" s="373" t="s">
        <v>49</v>
      </c>
      <c r="M57" s="381"/>
      <c r="N57" s="381"/>
      <c r="O57" s="374"/>
      <c r="P57" s="373"/>
      <c r="Q57" s="381"/>
      <c r="R57" s="381"/>
      <c r="S57" s="374"/>
      <c r="T57" s="373"/>
      <c r="U57" s="381"/>
      <c r="V57" s="381"/>
      <c r="W57" s="374"/>
    </row>
    <row r="58" spans="2:35" ht="18.95" customHeight="1" x14ac:dyDescent="0.3">
      <c r="B58" s="84" t="s">
        <v>136</v>
      </c>
      <c r="C58" s="102" t="s">
        <v>26</v>
      </c>
      <c r="D58" s="373"/>
      <c r="E58" s="381"/>
      <c r="F58" s="381"/>
      <c r="G58" s="374"/>
      <c r="H58" s="373"/>
      <c r="I58" s="381"/>
      <c r="J58" s="381"/>
      <c r="K58" s="374"/>
      <c r="L58" s="373"/>
      <c r="M58" s="381"/>
      <c r="N58" s="381"/>
      <c r="O58" s="374"/>
      <c r="P58" s="373"/>
      <c r="Q58" s="381"/>
      <c r="R58" s="381"/>
      <c r="S58" s="374"/>
      <c r="T58" s="373"/>
      <c r="U58" s="381"/>
      <c r="V58" s="381"/>
      <c r="W58" s="374"/>
    </row>
    <row r="59" spans="2:35" ht="18.95" customHeight="1" x14ac:dyDescent="0.3">
      <c r="B59" s="72" t="s">
        <v>135</v>
      </c>
      <c r="C59" s="84" t="s">
        <v>24</v>
      </c>
      <c r="D59" s="373"/>
      <c r="E59" s="381"/>
      <c r="F59" s="381"/>
      <c r="G59" s="374"/>
      <c r="H59" s="373"/>
      <c r="I59" s="381"/>
      <c r="J59" s="381"/>
      <c r="K59" s="374"/>
      <c r="L59" s="373"/>
      <c r="M59" s="381"/>
      <c r="N59" s="381"/>
      <c r="O59" s="374"/>
      <c r="P59" s="373"/>
      <c r="Q59" s="381"/>
      <c r="R59" s="381"/>
      <c r="S59" s="374"/>
      <c r="T59" s="373"/>
      <c r="U59" s="381"/>
      <c r="V59" s="381"/>
      <c r="W59" s="374"/>
    </row>
  </sheetData>
  <mergeCells count="232">
    <mergeCell ref="D34:G34"/>
    <mergeCell ref="H34:K34"/>
    <mergeCell ref="L34:O34"/>
    <mergeCell ref="P34:S34"/>
    <mergeCell ref="B36:B37"/>
    <mergeCell ref="B45:B46"/>
    <mergeCell ref="D38:G38"/>
    <mergeCell ref="H38:K38"/>
    <mergeCell ref="L38:O38"/>
    <mergeCell ref="P38:S38"/>
    <mergeCell ref="D39:G39"/>
    <mergeCell ref="D42:G42"/>
    <mergeCell ref="H42:K42"/>
    <mergeCell ref="L42:O42"/>
    <mergeCell ref="P42:S42"/>
    <mergeCell ref="D37:G37"/>
    <mergeCell ref="H37:K37"/>
    <mergeCell ref="L37:O37"/>
    <mergeCell ref="P37:S37"/>
    <mergeCell ref="D41:G41"/>
    <mergeCell ref="H41:K41"/>
    <mergeCell ref="L46:O46"/>
    <mergeCell ref="P46:S46"/>
    <mergeCell ref="D32:G32"/>
    <mergeCell ref="H32:K32"/>
    <mergeCell ref="L32:O32"/>
    <mergeCell ref="P32:S32"/>
    <mergeCell ref="D33:G33"/>
    <mergeCell ref="H33:K33"/>
    <mergeCell ref="L33:O33"/>
    <mergeCell ref="P33:S33"/>
    <mergeCell ref="D30:G30"/>
    <mergeCell ref="H30:K30"/>
    <mergeCell ref="L30:O30"/>
    <mergeCell ref="P30:S30"/>
    <mergeCell ref="D31:G31"/>
    <mergeCell ref="H31:K31"/>
    <mergeCell ref="L31:O31"/>
    <mergeCell ref="P31:S31"/>
    <mergeCell ref="B28:B29"/>
    <mergeCell ref="D28:G28"/>
    <mergeCell ref="H28:K28"/>
    <mergeCell ref="L28:O28"/>
    <mergeCell ref="P28:S28"/>
    <mergeCell ref="D29:G29"/>
    <mergeCell ref="H29:K29"/>
    <mergeCell ref="L29:O29"/>
    <mergeCell ref="P29:S29"/>
    <mergeCell ref="P24:S24"/>
    <mergeCell ref="T24:W24"/>
    <mergeCell ref="D25:E25"/>
    <mergeCell ref="F25:G25"/>
    <mergeCell ref="H25:I25"/>
    <mergeCell ref="J25:K25"/>
    <mergeCell ref="L25:M25"/>
    <mergeCell ref="N25:O25"/>
    <mergeCell ref="P25:S25"/>
    <mergeCell ref="T25:W25"/>
    <mergeCell ref="D24:E24"/>
    <mergeCell ref="F24:G24"/>
    <mergeCell ref="H24:I24"/>
    <mergeCell ref="J24:K24"/>
    <mergeCell ref="L24:M24"/>
    <mergeCell ref="N24:O24"/>
    <mergeCell ref="P22:S22"/>
    <mergeCell ref="T22:W22"/>
    <mergeCell ref="D23:E23"/>
    <mergeCell ref="F23:G23"/>
    <mergeCell ref="H23:I23"/>
    <mergeCell ref="J23:K23"/>
    <mergeCell ref="L23:M23"/>
    <mergeCell ref="N23:O23"/>
    <mergeCell ref="P23:S23"/>
    <mergeCell ref="T23:W23"/>
    <mergeCell ref="D22:E22"/>
    <mergeCell ref="F22:G22"/>
    <mergeCell ref="H22:I22"/>
    <mergeCell ref="J22:K22"/>
    <mergeCell ref="L22:M22"/>
    <mergeCell ref="N22:O22"/>
    <mergeCell ref="B20:B21"/>
    <mergeCell ref="D20:G20"/>
    <mergeCell ref="L20:O20"/>
    <mergeCell ref="P20:S20"/>
    <mergeCell ref="T20:W20"/>
    <mergeCell ref="D21:G21"/>
    <mergeCell ref="L21:O21"/>
    <mergeCell ref="P21:S21"/>
    <mergeCell ref="T21:W21"/>
    <mergeCell ref="D18:G18"/>
    <mergeCell ref="H18:J18"/>
    <mergeCell ref="K18:L18"/>
    <mergeCell ref="M18:N18"/>
    <mergeCell ref="O18:P18"/>
    <mergeCell ref="Q18:R18"/>
    <mergeCell ref="D17:G17"/>
    <mergeCell ref="H17:J17"/>
    <mergeCell ref="K17:L17"/>
    <mergeCell ref="M17:N17"/>
    <mergeCell ref="O17:P17"/>
    <mergeCell ref="Q17:R17"/>
    <mergeCell ref="D16:G16"/>
    <mergeCell ref="H16:J16"/>
    <mergeCell ref="K16:L16"/>
    <mergeCell ref="M16:N16"/>
    <mergeCell ref="O16:P16"/>
    <mergeCell ref="Q16:R16"/>
    <mergeCell ref="H14:J14"/>
    <mergeCell ref="K14:N14"/>
    <mergeCell ref="O14:R14"/>
    <mergeCell ref="I15:J15"/>
    <mergeCell ref="K15:L15"/>
    <mergeCell ref="M15:N15"/>
    <mergeCell ref="O15:P15"/>
    <mergeCell ref="Q15:R15"/>
    <mergeCell ref="D12:G12"/>
    <mergeCell ref="H12:J12"/>
    <mergeCell ref="K12:N12"/>
    <mergeCell ref="O12:R12"/>
    <mergeCell ref="B13:B14"/>
    <mergeCell ref="C13:C14"/>
    <mergeCell ref="D13:G13"/>
    <mergeCell ref="H13:J13"/>
    <mergeCell ref="K13:N13"/>
    <mergeCell ref="O13:R13"/>
    <mergeCell ref="D11:G11"/>
    <mergeCell ref="H11:J11"/>
    <mergeCell ref="K11:N11"/>
    <mergeCell ref="O11:R11"/>
    <mergeCell ref="D8:G8"/>
    <mergeCell ref="H8:J8"/>
    <mergeCell ref="K8:N8"/>
    <mergeCell ref="O8:R8"/>
    <mergeCell ref="D9:G9"/>
    <mergeCell ref="H9:J9"/>
    <mergeCell ref="K9:N9"/>
    <mergeCell ref="O9:R9"/>
    <mergeCell ref="D7:G7"/>
    <mergeCell ref="H7:J7"/>
    <mergeCell ref="K7:N7"/>
    <mergeCell ref="O7:R7"/>
    <mergeCell ref="AD2:AI2"/>
    <mergeCell ref="D10:G10"/>
    <mergeCell ref="H10:J10"/>
    <mergeCell ref="K10:N10"/>
    <mergeCell ref="O10:R10"/>
    <mergeCell ref="B4:B5"/>
    <mergeCell ref="D4:G4"/>
    <mergeCell ref="H4:J4"/>
    <mergeCell ref="K4:N4"/>
    <mergeCell ref="O4:R4"/>
    <mergeCell ref="D6:G6"/>
    <mergeCell ref="H6:J6"/>
    <mergeCell ref="K6:N6"/>
    <mergeCell ref="O6:R6"/>
    <mergeCell ref="D47:G47"/>
    <mergeCell ref="H47:K47"/>
    <mergeCell ref="L47:O47"/>
    <mergeCell ref="P47:S47"/>
    <mergeCell ref="L41:O41"/>
    <mergeCell ref="P41:S41"/>
    <mergeCell ref="D36:G36"/>
    <mergeCell ref="H36:K36"/>
    <mergeCell ref="L36:O36"/>
    <mergeCell ref="P36:S36"/>
    <mergeCell ref="H39:K39"/>
    <mergeCell ref="L39:O39"/>
    <mergeCell ref="P39:S39"/>
    <mergeCell ref="D40:G40"/>
    <mergeCell ref="H40:K40"/>
    <mergeCell ref="L40:O40"/>
    <mergeCell ref="P40:S40"/>
    <mergeCell ref="D50:G50"/>
    <mergeCell ref="H50:K50"/>
    <mergeCell ref="L50:O50"/>
    <mergeCell ref="P50:S50"/>
    <mergeCell ref="T45:W45"/>
    <mergeCell ref="T46:W46"/>
    <mergeCell ref="T47:W47"/>
    <mergeCell ref="T48:W48"/>
    <mergeCell ref="T49:W49"/>
    <mergeCell ref="T50:W50"/>
    <mergeCell ref="D48:G48"/>
    <mergeCell ref="H48:K48"/>
    <mergeCell ref="L48:O48"/>
    <mergeCell ref="P48:S48"/>
    <mergeCell ref="D49:G49"/>
    <mergeCell ref="H49:K49"/>
    <mergeCell ref="L49:O49"/>
    <mergeCell ref="P49:S49"/>
    <mergeCell ref="D45:G45"/>
    <mergeCell ref="H45:K45"/>
    <mergeCell ref="L45:O45"/>
    <mergeCell ref="P45:S45"/>
    <mergeCell ref="D46:G46"/>
    <mergeCell ref="H46:K46"/>
    <mergeCell ref="B53:B54"/>
    <mergeCell ref="D53:G53"/>
    <mergeCell ref="H53:K53"/>
    <mergeCell ref="L53:O53"/>
    <mergeCell ref="P53:S53"/>
    <mergeCell ref="T53:W53"/>
    <mergeCell ref="D54:G54"/>
    <mergeCell ref="H54:K54"/>
    <mergeCell ref="L54:O54"/>
    <mergeCell ref="P54:S54"/>
    <mergeCell ref="T54:W54"/>
    <mergeCell ref="D55:G55"/>
    <mergeCell ref="H55:K55"/>
    <mergeCell ref="L55:O55"/>
    <mergeCell ref="P55:S55"/>
    <mergeCell ref="T55:W55"/>
    <mergeCell ref="D56:G56"/>
    <mergeCell ref="H56:K56"/>
    <mergeCell ref="L56:O56"/>
    <mergeCell ref="P56:S56"/>
    <mergeCell ref="T56:W56"/>
    <mergeCell ref="D59:G59"/>
    <mergeCell ref="H59:K59"/>
    <mergeCell ref="L59:O59"/>
    <mergeCell ref="P59:S59"/>
    <mergeCell ref="T59:W59"/>
    <mergeCell ref="D57:G57"/>
    <mergeCell ref="H57:K57"/>
    <mergeCell ref="L57:O57"/>
    <mergeCell ref="P57:S57"/>
    <mergeCell ref="T57:W57"/>
    <mergeCell ref="D58:G58"/>
    <mergeCell ref="H58:K58"/>
    <mergeCell ref="L58:O58"/>
    <mergeCell ref="P58:S58"/>
    <mergeCell ref="T58:W58"/>
  </mergeCells>
  <dataValidations count="3">
    <dataValidation allowBlank="1" showInputMessage="1" showErrorMessage="1" prompt="Type the year in this cell." sqref="AD2:AI2" xr:uid="{2E8445F2-C174-4889-9C64-F383ABA77080}"/>
    <dataValidation allowBlank="1" showInputMessage="1" showErrorMessage="1" prompt="Type the year in cell AJ2 to change the calendar year._x000a__x000a_Calendar automatically shows daily shift schedule for up to 3 jobs. Setup the job/shift details and pattern from the Jobs and Shifts tab._x000a__x000a_Days highlighted red indicate schedule conflicts." sqref="A1" xr:uid="{169C2D58-34F4-4D64-BA8D-0E177E2578BB}"/>
    <dataValidation allowBlank="1" showInputMessage="1" showErrorMessage="1" promptTitle="Shift Work Calendar" sqref="A2" xr:uid="{C5C9E464-4A35-4552-AFEB-998880F2FFCB}"/>
  </dataValidations>
  <printOptions horizontalCentered="1" verticalCentered="1"/>
  <pageMargins left="0.3" right="0.3" top="0.3" bottom="0.3" header="0.3" footer="0.3"/>
  <pageSetup scale="55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9B97C-345E-44E0-A5AF-6398D481C46C}">
          <x14:formula1>
            <xm:f>Sheet1!$B$39:$B$46</xm:f>
          </x14:formula1>
          <xm:sqref>D6:R6</xm:sqref>
        </x14:dataValidation>
        <x14:dataValidation type="list" allowBlank="1" showInputMessage="1" showErrorMessage="1" xr:uid="{1275269B-CCEA-480C-B688-752F3DB8EC9B}">
          <x14:formula1>
            <xm:f>Sheet1!$B$48:$B$53</xm:f>
          </x14:formula1>
          <xm:sqref>D10:R12</xm:sqref>
        </x14:dataValidation>
        <x14:dataValidation type="list" allowBlank="1" showInputMessage="1" showErrorMessage="1" xr:uid="{AA09C59F-FD73-44A2-A9D6-0F6BB1227982}">
          <x14:formula1>
            <xm:f>Sheet1!$B$13:$B$18</xm:f>
          </x14:formula1>
          <xm:sqref>D7:R7</xm:sqref>
        </x14:dataValidation>
        <x14:dataValidation type="list" allowBlank="1" showInputMessage="1" showErrorMessage="1" xr:uid="{F8BE5F65-D277-440C-B0BA-5FDD71FE9984}">
          <x14:formula1>
            <xm:f>Sheet1!$B$20:$B$25</xm:f>
          </x14:formula1>
          <xm:sqref>D8:R8</xm:sqref>
        </x14:dataValidation>
        <x14:dataValidation type="list" allowBlank="1" showInputMessage="1" showErrorMessage="1" xr:uid="{AC682C28-B272-4E74-B913-9AF89D1B76DA}">
          <x14:formula1>
            <xm:f>Sheet1!$B$3:$B$11</xm:f>
          </x14:formula1>
          <xm:sqref>D9:R9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B60F-84FE-41C7-AEF5-C840A90695E4}">
  <sheetPr codeName="Sheet5"/>
  <dimension ref="A3:P53"/>
  <sheetViews>
    <sheetView topLeftCell="A17" workbookViewId="0">
      <selection activeCell="G39" sqref="G39"/>
    </sheetView>
  </sheetViews>
  <sheetFormatPr defaultRowHeight="15.75" x14ac:dyDescent="0.3"/>
  <sheetData>
    <row r="3" spans="1:16" x14ac:dyDescent="0.3">
      <c r="A3" t="s">
        <v>259</v>
      </c>
      <c r="B3" t="s">
        <v>86</v>
      </c>
      <c r="G3" t="s">
        <v>119</v>
      </c>
      <c r="L3" t="s">
        <v>260</v>
      </c>
      <c r="N3" t="s">
        <v>261</v>
      </c>
      <c r="P3" t="s">
        <v>262</v>
      </c>
    </row>
    <row r="4" spans="1:16" x14ac:dyDescent="0.3">
      <c r="B4" t="s">
        <v>84</v>
      </c>
      <c r="G4" t="s">
        <v>132</v>
      </c>
      <c r="L4" t="s">
        <v>263</v>
      </c>
      <c r="N4" t="s">
        <v>102</v>
      </c>
    </row>
    <row r="5" spans="1:16" x14ac:dyDescent="0.3">
      <c r="B5" t="s">
        <v>264</v>
      </c>
      <c r="G5" t="s">
        <v>107</v>
      </c>
    </row>
    <row r="6" spans="1:16" x14ac:dyDescent="0.3">
      <c r="B6" t="s">
        <v>100</v>
      </c>
      <c r="G6" t="s">
        <v>118</v>
      </c>
    </row>
    <row r="7" spans="1:16" x14ac:dyDescent="0.3">
      <c r="B7" t="s">
        <v>103</v>
      </c>
      <c r="G7" t="s">
        <v>145</v>
      </c>
    </row>
    <row r="8" spans="1:16" x14ac:dyDescent="0.3">
      <c r="B8" t="s">
        <v>85</v>
      </c>
      <c r="G8" t="s">
        <v>105</v>
      </c>
    </row>
    <row r="9" spans="1:16" x14ac:dyDescent="0.3">
      <c r="B9" t="s">
        <v>87</v>
      </c>
      <c r="G9" t="s">
        <v>134</v>
      </c>
    </row>
    <row r="10" spans="1:16" x14ac:dyDescent="0.3">
      <c r="B10" t="s">
        <v>265</v>
      </c>
      <c r="G10" t="s">
        <v>117</v>
      </c>
    </row>
    <row r="11" spans="1:16" x14ac:dyDescent="0.3">
      <c r="B11" t="s">
        <v>101</v>
      </c>
      <c r="G11" t="s">
        <v>143</v>
      </c>
    </row>
    <row r="12" spans="1:16" x14ac:dyDescent="0.3">
      <c r="G12" t="s">
        <v>147</v>
      </c>
    </row>
    <row r="13" spans="1:16" x14ac:dyDescent="0.3">
      <c r="A13" t="s">
        <v>24</v>
      </c>
      <c r="B13" t="s">
        <v>97</v>
      </c>
      <c r="G13" t="s">
        <v>111</v>
      </c>
    </row>
    <row r="14" spans="1:16" x14ac:dyDescent="0.3">
      <c r="B14" t="s">
        <v>78</v>
      </c>
      <c r="G14" t="s">
        <v>109</v>
      </c>
    </row>
    <row r="15" spans="1:16" x14ac:dyDescent="0.3">
      <c r="B15" t="s">
        <v>80</v>
      </c>
      <c r="G15" t="s">
        <v>113</v>
      </c>
    </row>
    <row r="16" spans="1:16" x14ac:dyDescent="0.3">
      <c r="B16" t="s">
        <v>79</v>
      </c>
      <c r="G16" t="s">
        <v>120</v>
      </c>
    </row>
    <row r="17" spans="1:7" x14ac:dyDescent="0.3">
      <c r="B17" t="s">
        <v>98</v>
      </c>
      <c r="G17" t="s">
        <v>112</v>
      </c>
    </row>
    <row r="18" spans="1:7" x14ac:dyDescent="0.3">
      <c r="B18" t="s">
        <v>81</v>
      </c>
      <c r="G18" t="s">
        <v>116</v>
      </c>
    </row>
    <row r="19" spans="1:7" x14ac:dyDescent="0.3">
      <c r="G19" t="s">
        <v>121</v>
      </c>
    </row>
    <row r="20" spans="1:7" x14ac:dyDescent="0.3">
      <c r="A20" t="s">
        <v>266</v>
      </c>
      <c r="B20" t="s">
        <v>267</v>
      </c>
      <c r="G20" t="s">
        <v>148</v>
      </c>
    </row>
    <row r="21" spans="1:7" x14ac:dyDescent="0.3">
      <c r="B21" t="s">
        <v>268</v>
      </c>
      <c r="G21" t="s">
        <v>129</v>
      </c>
    </row>
    <row r="22" spans="1:7" x14ac:dyDescent="0.3">
      <c r="B22" t="s">
        <v>269</v>
      </c>
      <c r="G22" t="s">
        <v>138</v>
      </c>
    </row>
    <row r="23" spans="1:7" x14ac:dyDescent="0.3">
      <c r="B23" t="s">
        <v>270</v>
      </c>
      <c r="G23" t="s">
        <v>130</v>
      </c>
    </row>
    <row r="24" spans="1:7" x14ac:dyDescent="0.3">
      <c r="B24" t="s">
        <v>271</v>
      </c>
      <c r="G24" t="s">
        <v>140</v>
      </c>
    </row>
    <row r="25" spans="1:7" x14ac:dyDescent="0.3">
      <c r="B25" t="s">
        <v>272</v>
      </c>
      <c r="G25" t="s">
        <v>106</v>
      </c>
    </row>
    <row r="26" spans="1:7" x14ac:dyDescent="0.3">
      <c r="B26" t="s">
        <v>99</v>
      </c>
      <c r="G26" t="s">
        <v>141</v>
      </c>
    </row>
    <row r="27" spans="1:7" x14ac:dyDescent="0.3">
      <c r="G27" t="s">
        <v>115</v>
      </c>
    </row>
    <row r="28" spans="1:7" x14ac:dyDescent="0.3">
      <c r="G28" t="s">
        <v>137</v>
      </c>
    </row>
    <row r="29" spans="1:7" x14ac:dyDescent="0.3">
      <c r="G29" t="s">
        <v>104</v>
      </c>
    </row>
    <row r="30" spans="1:7" x14ac:dyDescent="0.3">
      <c r="G30" t="s">
        <v>108</v>
      </c>
    </row>
    <row r="31" spans="1:7" x14ac:dyDescent="0.3">
      <c r="G31" t="s">
        <v>131</v>
      </c>
    </row>
    <row r="32" spans="1:7" x14ac:dyDescent="0.3">
      <c r="G32" t="s">
        <v>133</v>
      </c>
    </row>
    <row r="33" spans="1:7" x14ac:dyDescent="0.3">
      <c r="G33" t="s">
        <v>273</v>
      </c>
    </row>
    <row r="34" spans="1:7" x14ac:dyDescent="0.3">
      <c r="G34" t="s">
        <v>123</v>
      </c>
    </row>
    <row r="35" spans="1:7" x14ac:dyDescent="0.3">
      <c r="G35" t="s">
        <v>124</v>
      </c>
    </row>
    <row r="36" spans="1:7" x14ac:dyDescent="0.3">
      <c r="G36" t="s">
        <v>142</v>
      </c>
    </row>
    <row r="37" spans="1:7" x14ac:dyDescent="0.3">
      <c r="G37" t="s">
        <v>144</v>
      </c>
    </row>
    <row r="38" spans="1:7" x14ac:dyDescent="0.3">
      <c r="G38" t="s">
        <v>125</v>
      </c>
    </row>
    <row r="39" spans="1:7" x14ac:dyDescent="0.3">
      <c r="A39" t="s">
        <v>274</v>
      </c>
      <c r="B39" t="s">
        <v>74</v>
      </c>
      <c r="G39" t="s">
        <v>127</v>
      </c>
    </row>
    <row r="40" spans="1:7" x14ac:dyDescent="0.3">
      <c r="B40" t="s">
        <v>75</v>
      </c>
    </row>
    <row r="41" spans="1:7" x14ac:dyDescent="0.3">
      <c r="B41" t="s">
        <v>95</v>
      </c>
    </row>
    <row r="42" spans="1:7" x14ac:dyDescent="0.3">
      <c r="B42" t="s">
        <v>76</v>
      </c>
    </row>
    <row r="43" spans="1:7" x14ac:dyDescent="0.3">
      <c r="B43" t="s">
        <v>94</v>
      </c>
    </row>
    <row r="44" spans="1:7" x14ac:dyDescent="0.3">
      <c r="B44" t="s">
        <v>77</v>
      </c>
    </row>
    <row r="45" spans="1:7" x14ac:dyDescent="0.3">
      <c r="B45" t="s">
        <v>96</v>
      </c>
    </row>
    <row r="48" spans="1:7" x14ac:dyDescent="0.3">
      <c r="A48" t="s">
        <v>275</v>
      </c>
      <c r="B48" t="s">
        <v>88</v>
      </c>
    </row>
    <row r="49" spans="2:2" x14ac:dyDescent="0.3">
      <c r="B49" t="s">
        <v>92</v>
      </c>
    </row>
    <row r="50" spans="2:2" x14ac:dyDescent="0.3">
      <c r="B50" t="s">
        <v>89</v>
      </c>
    </row>
    <row r="51" spans="2:2" x14ac:dyDescent="0.3">
      <c r="B51" t="s">
        <v>93</v>
      </c>
    </row>
    <row r="52" spans="2:2" x14ac:dyDescent="0.3">
      <c r="B52" t="s">
        <v>90</v>
      </c>
    </row>
    <row r="53" spans="2:2" x14ac:dyDescent="0.3">
      <c r="B53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27"/>
  <sheetViews>
    <sheetView showGridLines="0" workbookViewId="0">
      <selection activeCell="C9" sqref="C9"/>
    </sheetView>
  </sheetViews>
  <sheetFormatPr defaultColWidth="0" defaultRowHeight="21" customHeight="1" x14ac:dyDescent="0.3"/>
  <cols>
    <col min="1" max="1" width="3.77734375" style="1" customWidth="1"/>
    <col min="2" max="3" width="17.77734375" style="2" customWidth="1"/>
    <col min="4" max="6" width="20.77734375" style="4" customWidth="1"/>
    <col min="7" max="7" width="1.77734375" style="4" customWidth="1"/>
    <col min="8" max="8" width="3.77734375" style="1" customWidth="1"/>
    <col min="9" max="16384" width="8.88671875" style="1" hidden="1"/>
  </cols>
  <sheetData>
    <row r="1" spans="2:8" ht="4.9000000000000004" customHeight="1" x14ac:dyDescent="0.3"/>
    <row r="2" spans="2:8" s="61" customFormat="1" ht="60" customHeight="1" x14ac:dyDescent="0.8">
      <c r="B2" s="62" t="s">
        <v>276</v>
      </c>
      <c r="C2" s="67"/>
      <c r="D2" s="68"/>
      <c r="E2" s="68"/>
      <c r="F2" s="68"/>
      <c r="G2" s="60"/>
      <c r="H2" s="61" t="s">
        <v>201</v>
      </c>
    </row>
    <row r="3" spans="2:8" ht="30" customHeight="1" x14ac:dyDescent="0.3"/>
    <row r="4" spans="2:8" s="5" customFormat="1" ht="19.899999999999999" customHeight="1" x14ac:dyDescent="0.3">
      <c r="B4" s="401" t="s">
        <v>277</v>
      </c>
      <c r="C4" s="402"/>
      <c r="D4" s="14" t="s">
        <v>278</v>
      </c>
      <c r="E4" s="14" t="s">
        <v>279</v>
      </c>
      <c r="F4" s="403" t="s">
        <v>280</v>
      </c>
      <c r="G4" s="404"/>
      <c r="H4" s="49"/>
    </row>
    <row r="5" spans="2:8" s="13" customFormat="1" ht="19.899999999999999" customHeight="1" x14ac:dyDescent="0.3">
      <c r="B5" s="401"/>
      <c r="C5" s="402"/>
      <c r="D5" s="53" t="s">
        <v>174</v>
      </c>
      <c r="E5" s="54" t="s">
        <v>175</v>
      </c>
      <c r="F5" s="405" t="s">
        <v>177</v>
      </c>
      <c r="G5" s="406"/>
      <c r="H5" s="41"/>
    </row>
    <row r="6" spans="2:8" s="41" customFormat="1" ht="4.9000000000000004" customHeight="1" x14ac:dyDescent="0.3">
      <c r="B6" s="42"/>
      <c r="C6" s="42"/>
      <c r="D6" s="43"/>
      <c r="E6" s="43"/>
      <c r="F6" s="43"/>
      <c r="G6" s="43"/>
    </row>
    <row r="7" spans="2:8" ht="10.15" customHeight="1" x14ac:dyDescent="0.3">
      <c r="B7" s="22"/>
      <c r="C7" s="22"/>
      <c r="D7" s="22"/>
      <c r="E7" s="22"/>
      <c r="F7" s="22"/>
      <c r="G7" s="22"/>
      <c r="H7" s="38"/>
    </row>
    <row r="8" spans="2:8" ht="25.15" customHeight="1" x14ac:dyDescent="0.3">
      <c r="B8" s="395" t="s">
        <v>2</v>
      </c>
      <c r="C8" s="26" t="s">
        <v>281</v>
      </c>
      <c r="D8" s="15" t="s">
        <v>282</v>
      </c>
      <c r="E8" s="15" t="s">
        <v>282</v>
      </c>
      <c r="F8" s="15" t="s">
        <v>282</v>
      </c>
      <c r="G8" s="20"/>
      <c r="H8" s="38"/>
    </row>
    <row r="9" spans="2:8" ht="25.15" customHeight="1" x14ac:dyDescent="0.3">
      <c r="B9" s="396"/>
      <c r="C9" s="27" t="s">
        <v>283</v>
      </c>
      <c r="D9" s="15" t="s">
        <v>284</v>
      </c>
      <c r="E9" s="15" t="s">
        <v>284</v>
      </c>
      <c r="F9" s="15" t="s">
        <v>284</v>
      </c>
      <c r="G9" s="20"/>
      <c r="H9" s="38"/>
    </row>
    <row r="10" spans="2:8" ht="25.15" customHeight="1" x14ac:dyDescent="0.3">
      <c r="B10" s="397"/>
      <c r="C10" s="28" t="s">
        <v>285</v>
      </c>
      <c r="D10" s="15" t="s">
        <v>286</v>
      </c>
      <c r="E10" s="15" t="s">
        <v>286</v>
      </c>
      <c r="F10" s="15" t="s">
        <v>286</v>
      </c>
      <c r="G10" s="20"/>
      <c r="H10" s="38"/>
    </row>
    <row r="11" spans="2:8" ht="10.15" customHeight="1" x14ac:dyDescent="0.3">
      <c r="B11" s="35"/>
      <c r="C11" s="29"/>
      <c r="D11" s="20"/>
      <c r="E11" s="20"/>
      <c r="F11" s="20"/>
      <c r="G11" s="20"/>
      <c r="H11" s="38"/>
    </row>
    <row r="12" spans="2:8" s="38" customFormat="1" ht="4.9000000000000004" customHeight="1" x14ac:dyDescent="0.3">
      <c r="B12" s="44"/>
      <c r="C12" s="46"/>
      <c r="D12" s="40"/>
      <c r="E12" s="40"/>
      <c r="F12" s="40"/>
      <c r="G12" s="40"/>
    </row>
    <row r="13" spans="2:8" ht="10.15" customHeight="1" x14ac:dyDescent="0.3">
      <c r="B13" s="36"/>
      <c r="C13" s="30"/>
      <c r="D13" s="21"/>
      <c r="E13" s="21"/>
      <c r="F13" s="21"/>
      <c r="G13" s="21"/>
      <c r="H13" s="38"/>
    </row>
    <row r="14" spans="2:8" ht="19.899999999999999" customHeight="1" x14ac:dyDescent="0.3">
      <c r="B14" s="398" t="s">
        <v>3</v>
      </c>
      <c r="C14" s="31" t="s">
        <v>281</v>
      </c>
      <c r="D14" s="15" t="s">
        <v>287</v>
      </c>
      <c r="E14" s="15" t="s">
        <v>287</v>
      </c>
      <c r="F14" s="15" t="s">
        <v>287</v>
      </c>
      <c r="G14" s="21"/>
      <c r="H14" s="38"/>
    </row>
    <row r="15" spans="2:8" ht="19.899999999999999" customHeight="1" x14ac:dyDescent="0.3">
      <c r="B15" s="399"/>
      <c r="C15" s="31" t="s">
        <v>283</v>
      </c>
      <c r="D15" s="15" t="s">
        <v>288</v>
      </c>
      <c r="E15" s="15" t="s">
        <v>288</v>
      </c>
      <c r="F15" s="15" t="s">
        <v>288</v>
      </c>
      <c r="G15" s="21"/>
    </row>
    <row r="16" spans="2:8" ht="19.899999999999999" customHeight="1" x14ac:dyDescent="0.3">
      <c r="B16" s="400"/>
      <c r="C16" s="31" t="s">
        <v>285</v>
      </c>
      <c r="D16" s="15" t="s">
        <v>289</v>
      </c>
      <c r="E16" s="15" t="s">
        <v>289</v>
      </c>
      <c r="F16" s="15" t="s">
        <v>289</v>
      </c>
      <c r="G16" s="21"/>
    </row>
    <row r="17" spans="2:8" ht="10.15" customHeight="1" x14ac:dyDescent="0.3">
      <c r="B17" s="36"/>
      <c r="C17" s="32"/>
      <c r="D17" s="21"/>
      <c r="E17" s="21"/>
      <c r="F17" s="21"/>
      <c r="G17" s="21"/>
    </row>
    <row r="18" spans="2:8" s="38" customFormat="1" ht="4.9000000000000004" customHeight="1" x14ac:dyDescent="0.3">
      <c r="B18" s="44"/>
      <c r="C18" s="45"/>
      <c r="D18" s="40"/>
      <c r="E18" s="40"/>
      <c r="F18" s="40"/>
      <c r="G18" s="40"/>
    </row>
    <row r="19" spans="2:8" ht="10.15" customHeight="1" x14ac:dyDescent="0.3">
      <c r="B19" s="37"/>
      <c r="C19" s="33"/>
      <c r="D19" s="24"/>
      <c r="E19" s="24"/>
      <c r="F19" s="24"/>
      <c r="G19" s="24"/>
    </row>
    <row r="20" spans="2:8" ht="25.15" customHeight="1" x14ac:dyDescent="0.3">
      <c r="B20" s="392" t="s">
        <v>4</v>
      </c>
      <c r="C20" s="34" t="s">
        <v>281</v>
      </c>
      <c r="D20" s="15" t="s">
        <v>290</v>
      </c>
      <c r="E20" s="15" t="s">
        <v>290</v>
      </c>
      <c r="F20" s="15" t="s">
        <v>290</v>
      </c>
      <c r="G20" s="24"/>
    </row>
    <row r="21" spans="2:8" ht="25.15" customHeight="1" x14ac:dyDescent="0.3">
      <c r="B21" s="393"/>
      <c r="C21" s="34" t="s">
        <v>283</v>
      </c>
      <c r="D21" s="15" t="s">
        <v>291</v>
      </c>
      <c r="E21" s="15" t="s">
        <v>291</v>
      </c>
      <c r="F21" s="15" t="s">
        <v>291</v>
      </c>
      <c r="G21" s="24"/>
    </row>
    <row r="22" spans="2:8" ht="25.15" customHeight="1" x14ac:dyDescent="0.3">
      <c r="B22" s="394"/>
      <c r="C22" s="34" t="s">
        <v>285</v>
      </c>
      <c r="D22" s="15" t="s">
        <v>292</v>
      </c>
      <c r="E22" s="15" t="s">
        <v>292</v>
      </c>
      <c r="F22" s="15" t="s">
        <v>292</v>
      </c>
      <c r="G22" s="24"/>
    </row>
    <row r="23" spans="2:8" ht="10.15" customHeight="1" x14ac:dyDescent="0.3">
      <c r="B23" s="25"/>
      <c r="C23" s="25"/>
      <c r="D23" s="24"/>
      <c r="E23" s="24"/>
      <c r="F23" s="24"/>
      <c r="G23" s="24"/>
    </row>
    <row r="24" spans="2:8" s="38" customFormat="1" ht="4.9000000000000004" customHeight="1" x14ac:dyDescent="0.3">
      <c r="B24" s="39"/>
      <c r="C24" s="39"/>
      <c r="D24" s="40"/>
      <c r="E24" s="40"/>
      <c r="F24" s="40"/>
      <c r="G24" s="40"/>
    </row>
    <row r="25" spans="2:8" ht="25.15" customHeight="1" x14ac:dyDescent="0.3">
      <c r="B25" s="47"/>
      <c r="C25" s="56" t="s">
        <v>293</v>
      </c>
      <c r="D25" s="23" t="s">
        <v>149</v>
      </c>
      <c r="E25" s="50" t="s">
        <v>149</v>
      </c>
      <c r="F25" s="390" t="s">
        <v>149</v>
      </c>
      <c r="G25" s="407"/>
    </row>
    <row r="26" spans="2:8" ht="25.15" customHeight="1" x14ac:dyDescent="0.3">
      <c r="B26" s="48"/>
      <c r="C26" s="56" t="s">
        <v>294</v>
      </c>
      <c r="D26" s="55">
        <f ca="1">DATE(CalendarYear,1,5)</f>
        <v>46027</v>
      </c>
      <c r="E26" s="51">
        <f ca="1">DATE(CalendarYear,1,15)</f>
        <v>46037</v>
      </c>
      <c r="F26" s="408">
        <f ca="1">DATE(CalendarYear,1,19)</f>
        <v>46041</v>
      </c>
      <c r="G26" s="409"/>
    </row>
    <row r="27" spans="2:8" ht="25.15" customHeight="1" x14ac:dyDescent="0.3">
      <c r="B27" s="48"/>
      <c r="C27" s="56" t="s">
        <v>295</v>
      </c>
      <c r="D27" s="23" t="s">
        <v>296</v>
      </c>
      <c r="E27" s="50" t="s">
        <v>297</v>
      </c>
      <c r="F27" s="390" t="s">
        <v>298</v>
      </c>
      <c r="G27" s="391"/>
      <c r="H27" s="52"/>
    </row>
  </sheetData>
  <mergeCells count="9">
    <mergeCell ref="F27:G27"/>
    <mergeCell ref="B20:B22"/>
    <mergeCell ref="B8:B10"/>
    <mergeCell ref="B14:B16"/>
    <mergeCell ref="B4:C5"/>
    <mergeCell ref="F4:G4"/>
    <mergeCell ref="F5:G5"/>
    <mergeCell ref="F25:G25"/>
    <mergeCell ref="F26:G26"/>
  </mergeCells>
  <dataValidations xWindow="529" yWindow="936" count="9">
    <dataValidation allowBlank="1" showInputMessage="1" showErrorMessage="1" prompt="In this tab, you can setup the:_x000a_- job description_x000a_- details for each shift_x000a_- shift pattern and start date_x000a__x000a_When shifts conflict here, they will be indicated in red highlight of the day of the week on the Shift Work Calendar tab." sqref="A1" xr:uid="{00000000-0002-0000-0100-000000000000}"/>
    <dataValidation allowBlank="1" showInputMessage="1" showErrorMessage="1" prompt="In these rows, enter details of Shift 1 for each Job" sqref="B8:B10" xr:uid="{00000000-0002-0000-0100-000002000000}"/>
    <dataValidation allowBlank="1" showInputMessage="1" showErrorMessage="1" prompt="In these rows, enter details of Shift 2 for each Job" sqref="B14:B16" xr:uid="{00000000-0002-0000-0100-000003000000}"/>
    <dataValidation allowBlank="1" showInputMessage="1" showErrorMessage="1" prompt="In these rows, enter details of Shift 3 for each Job" sqref="B20:B22" xr:uid="{00000000-0002-0000-0100-000004000000}"/>
    <dataValidation allowBlank="1" showInputMessage="1" showErrorMessage="1" prompt="Set the shift pattern by using the Code letters of the different Shifts" sqref="D27:F27" xr:uid="{00000000-0002-0000-0100-000005000000}"/>
    <dataValidation allowBlank="1" showInputMessage="1" showErrorMessage="1" prompt="In this row, enter the shift shift pattern by using the Code letters of the different Shifts" sqref="C27" xr:uid="{00000000-0002-0000-0100-000006000000}"/>
    <dataValidation allowBlank="1" showInputMessage="1" showErrorMessage="1" prompt="In this row, enter the Start Date of the Shift Pattern for each Job" sqref="C26" xr:uid="{00000000-0002-0000-0100-000007000000}"/>
    <dataValidation allowBlank="1" showInputMessage="1" showErrorMessage="1" prompt="Make sure to use only one letter as Shift Code" sqref="D9:F9 D21:F21 D15:F15" xr:uid="{00000000-0002-0000-0100-000008000000}"/>
    <dataValidation allowBlank="1" showInputMessage="1" showErrorMessage="1" prompt="In this row, type in a description for each of the Jobs" sqref="B4" xr:uid="{00000000-0002-0000-0100-000001000000}"/>
  </dataValidations>
  <pageMargins left="0.3" right="0.3" top="0.3" bottom="0.3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3e170c-1b81-43fb-968f-aaf50e3ab7ab" xsi:nil="true"/>
    <Auditor xmlns="1359a938-063a-4b09-81ab-5e5cca4c26b3">
      <UserInfo>
        <DisplayName/>
        <AccountId xsi:nil="true"/>
        <AccountType/>
      </UserInfo>
    </Auditor>
    <lcf76f155ced4ddcb4097134ff3c332f xmlns="1359a938-063a-4b09-81ab-5e5cca4c26b3">
      <Terms xmlns="http://schemas.microsoft.com/office/infopath/2007/PartnerControls"/>
    </lcf76f155ced4ddcb4097134ff3c332f>
    <Notes xmlns="1359a938-063a-4b09-81ab-5e5cca4c26b3" xsi:nil="true"/>
    <Comments xmlns="1359a938-063a-4b09-81ab-5e5cca4c26b3" xsi:nil="true"/>
    <CAPA xmlns="1359a938-063a-4b09-81ab-5e5cca4c26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ABB78400BEC4F9907EBD326B41A79" ma:contentTypeVersion="16" ma:contentTypeDescription="Create a new document." ma:contentTypeScope="" ma:versionID="bfbb525fe5c927920aff17629569c4a5">
  <xsd:schema xmlns:xsd="http://www.w3.org/2001/XMLSchema" xmlns:xs="http://www.w3.org/2001/XMLSchema" xmlns:p="http://schemas.microsoft.com/office/2006/metadata/properties" xmlns:ns2="1359a938-063a-4b09-81ab-5e5cca4c26b3" xmlns:ns3="193e170c-1b81-43fb-968f-aaf50e3ab7ab" targetNamespace="http://schemas.microsoft.com/office/2006/metadata/properties" ma:root="true" ma:fieldsID="66fcf67776a431a7ecac06d5c946210d" ns2:_="" ns3:_="">
    <xsd:import namespace="1359a938-063a-4b09-81ab-5e5cca4c26b3"/>
    <xsd:import namespace="193e170c-1b81-43fb-968f-aaf50e3ab7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s" minOccurs="0"/>
                <xsd:element ref="ns2:Audito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mments" minOccurs="0"/>
                <xsd:element ref="ns2:CAP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9a938-063a-4b09-81ab-5e5cca4c2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Auditor" ma:index="12" nillable="true" ma:displayName="Auditor" ma:format="Dropdown" ma:list="UserInfo" ma:SharePointGroup="0" ma:internalName="Audito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a93af1-2b1a-4650-b3ce-de927db4eb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2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CAPA" ma:index="21" nillable="true" ma:displayName="CAPA" ma:format="Dropdown" ma:internalName="CAPA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3e170c-1b81-43fb-968f-aaf50e3ab7a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fe9cf26-c13b-4c49-bd64-959a7e80784c}" ma:internalName="TaxCatchAll" ma:showField="CatchAllData" ma:web="193e170c-1b81-43fb-968f-aaf50e3ab7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656978-1EED-4391-93B8-108D32171C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01DBFF-3B14-437A-9685-CED4B722E31E}">
  <ds:schemaRefs>
    <ds:schemaRef ds:uri="http://schemas.microsoft.com/office/2006/metadata/properties"/>
    <ds:schemaRef ds:uri="193e170c-1b81-43fb-968f-aaf50e3ab7ab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1359a938-063a-4b09-81ab-5e5cca4c26b3"/>
  </ds:schemaRefs>
</ds:datastoreItem>
</file>

<file path=customXml/itemProps3.xml><?xml version="1.0" encoding="utf-8"?>
<ds:datastoreItem xmlns:ds="http://schemas.openxmlformats.org/officeDocument/2006/customXml" ds:itemID="{2DE1E903-16AA-4182-9301-4AC5F3912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59a938-063a-4b09-81ab-5e5cca4c26b3"/>
    <ds:schemaRef ds:uri="193e170c-1b81-43fb-968f-aaf50e3ab7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TM89105255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31</vt:i4>
      </vt:variant>
    </vt:vector>
  </HeadingPairs>
  <TitlesOfParts>
    <vt:vector size="40" baseType="lpstr">
      <vt:lpstr>HK Scores</vt:lpstr>
      <vt:lpstr>HK</vt:lpstr>
      <vt:lpstr>Safe Obs - Leadership</vt:lpstr>
      <vt:lpstr>Safe Obs - GS and EHS</vt:lpstr>
      <vt:lpstr>LOTO</vt:lpstr>
      <vt:lpstr>PPE</vt:lpstr>
      <vt:lpstr>Mobile Equip</vt:lpstr>
      <vt:lpstr>Sheet1</vt:lpstr>
      <vt:lpstr>Jobs and shifts</vt:lpstr>
      <vt:lpstr>'HK Scores'!CalendarYear</vt:lpstr>
      <vt:lpstr>'Mobile Equip'!CalendarYear</vt:lpstr>
      <vt:lpstr>PPE!CalendarYear</vt:lpstr>
      <vt:lpstr>'Safe Obs - GS and EHS'!CalendarYear</vt:lpstr>
      <vt:lpstr>'Safe Obs - Leadership'!CalendarYear</vt:lpstr>
      <vt:lpstr>'Safe Obs GS EHS'!CalendarYear</vt:lpstr>
      <vt:lpstr>CalendarYear</vt:lpstr>
      <vt:lpstr>Job1_DayOff_Code</vt:lpstr>
      <vt:lpstr>Job1_Name</vt:lpstr>
      <vt:lpstr>Job1_Pattern</vt:lpstr>
      <vt:lpstr>Job1_Shift1_Code</vt:lpstr>
      <vt:lpstr>Job1_Shift2_Code</vt:lpstr>
      <vt:lpstr>Job1_Shift3_Code</vt:lpstr>
      <vt:lpstr>Job1_StartDate</vt:lpstr>
      <vt:lpstr>Job2_DayOff_Code</vt:lpstr>
      <vt:lpstr>Job2_Name</vt:lpstr>
      <vt:lpstr>Job2_Pattern</vt:lpstr>
      <vt:lpstr>Job2_Shift1_Code</vt:lpstr>
      <vt:lpstr>Job2_Shift2_Code</vt:lpstr>
      <vt:lpstr>Job2_Shift3_Code</vt:lpstr>
      <vt:lpstr>Job2_StartDate</vt:lpstr>
      <vt:lpstr>Job3_DayOff_Code</vt:lpstr>
      <vt:lpstr>Job3_Name</vt:lpstr>
      <vt:lpstr>Job3_Pattern</vt:lpstr>
      <vt:lpstr>Job3_Shift1_Code</vt:lpstr>
      <vt:lpstr>Job3_Shift2_Code</vt:lpstr>
      <vt:lpstr>Job3_Shift3_Code</vt:lpstr>
      <vt:lpstr>Job3_StartDate</vt:lpstr>
      <vt:lpstr>'Safe Obs GS EHS'!Range_Dates</vt:lpstr>
      <vt:lpstr>'Safe Obs GS EHS'!Range_Days</vt:lpstr>
      <vt:lpstr>'Safe Obs GS EHS'!Range_Weekdays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2023-05-23T06:24:40Z</dcterms:created>
  <dcterms:modified xsi:type="dcterms:W3CDTF">2026-07-21T19:15:22Z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0x010100A3FABB78400BEC4F9907EBD326B41A79</vt:lpwstr>
  </property>
  <property fmtid="{D5CDD505-2E9C-101B-9397-08002B2CF9AE}" pid="3" name="MediaServiceImageTags">
    <vt:lpwstr/>
  </property>
</Properties>
</file>